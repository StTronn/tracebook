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currency</t>
        </is>
      </c>
      <c r="D1" t="inlineStr">
        <is>
          <t>status</t>
        </is>
      </c>
      <c r="E1" t="inlineStr">
        <is>
          <t>order_id</t>
        </is>
      </c>
      <c r="F1" t="inlineStr">
        <is>
          <t>invoice_id</t>
        </is>
      </c>
      <c r="G1" t="inlineStr">
        <is>
          <t>international</t>
        </is>
      </c>
      <c r="H1" t="inlineStr">
        <is>
          <t>method</t>
        </is>
      </c>
      <c r="I1" t="inlineStr">
        <is>
          <t>amount_refunded</t>
        </is>
      </c>
      <c r="J1" t="inlineStr">
        <is>
          <t>amount_transferred</t>
        </is>
      </c>
      <c r="K1" t="inlineStr">
        <is>
          <t>refund_status</t>
        </is>
      </c>
      <c r="L1" t="inlineStr">
        <is>
          <t>captured</t>
        </is>
      </c>
      <c r="M1" t="inlineStr">
        <is>
          <t>description</t>
        </is>
      </c>
      <c r="N1" t="inlineStr">
        <is>
          <t>card_id</t>
        </is>
      </c>
      <c r="O1" t="inlineStr">
        <is>
          <t>bank</t>
        </is>
      </c>
      <c r="P1" t="inlineStr">
        <is>
          <t>wallet</t>
        </is>
      </c>
      <c r="Q1" t="inlineStr">
        <is>
          <t>vpa</t>
        </is>
      </c>
      <c r="R1" t="inlineStr">
        <is>
          <t>email</t>
        </is>
      </c>
      <c r="S1" t="inlineStr">
        <is>
          <t>contact</t>
        </is>
      </c>
      <c r="T1" t="inlineStr">
        <is>
          <t>notes</t>
        </is>
      </c>
      <c r="U1" t="inlineStr">
        <is>
          <t>fee</t>
        </is>
      </c>
      <c r="V1" t="inlineStr">
        <is>
          <t>tax</t>
        </is>
      </c>
      <c r="W1" t="inlineStr">
        <is>
          <t>error_code</t>
        </is>
      </c>
      <c r="X1" t="inlineStr">
        <is>
          <t>error_description</t>
        </is>
      </c>
      <c r="Y1" t="inlineStr">
        <is>
          <t>created_at</t>
        </is>
      </c>
    </row>
    <row r="2">
      <c r="A2" t="inlineStr">
        <is>
          <t>pay_nIizHJIQgJlgSI</t>
        </is>
      </c>
      <c r="B2" t="n">
        <v>3999</v>
      </c>
      <c r="C2" t="inlineStr">
        <is>
          <t>INR</t>
        </is>
      </c>
      <c r="D2" t="inlineStr">
        <is>
          <t>captured</t>
        </is>
      </c>
      <c r="E2" t="inlineStr">
        <is>
          <t>order_ycYfK4nfzoIdJ6</t>
        </is>
      </c>
      <c r="G2" t="n">
        <v>0</v>
      </c>
      <c r="H2" t="inlineStr">
        <is>
          <t>netbanking</t>
        </is>
      </c>
      <c r="I2" t="n">
        <v>0</v>
      </c>
      <c r="J2" t="n">
        <v>0</v>
      </c>
      <c r="L2" t="n">
        <v>1</v>
      </c>
      <c r="R2" t="inlineStr">
        <is>
          <t>customer634@example.com</t>
        </is>
      </c>
      <c r="S2">
        <f>+919837643310</f>
        <v/>
      </c>
      <c r="T2" t="inlineStr">
        <is>
          <t>[]</t>
        </is>
      </c>
      <c r="U2" t="n">
        <v>79.98</v>
      </c>
      <c r="V2" t="n">
        <v>14.4</v>
      </c>
      <c r="Y2" s="1" t="n">
        <v>46158.72545138889</v>
      </c>
    </row>
    <row r="3">
      <c r="A3" t="inlineStr">
        <is>
          <t>pay_EcPVJ2tRKJC06D</t>
        </is>
      </c>
      <c r="B3" t="n">
        <v>1799</v>
      </c>
      <c r="C3" t="inlineStr">
        <is>
          <t>INR</t>
        </is>
      </c>
      <c r="D3" t="inlineStr">
        <is>
          <t>captured</t>
        </is>
      </c>
      <c r="E3" t="inlineStr">
        <is>
          <t>order_AtKCsXRpJG2Tr8</t>
        </is>
      </c>
      <c r="G3" t="n">
        <v>0</v>
      </c>
      <c r="H3" t="inlineStr">
        <is>
          <t>upi</t>
        </is>
      </c>
      <c r="I3" t="n">
        <v>0</v>
      </c>
      <c r="J3" t="n">
        <v>0</v>
      </c>
      <c r="L3" t="n">
        <v>1</v>
      </c>
      <c r="R3" t="inlineStr">
        <is>
          <t>customer681@example.com</t>
        </is>
      </c>
      <c r="S3">
        <f>+919818724149</f>
        <v/>
      </c>
      <c r="T3" t="inlineStr">
        <is>
          <t>[]</t>
        </is>
      </c>
      <c r="U3" t="n">
        <v>35.98</v>
      </c>
      <c r="V3" t="n">
        <v>6.48</v>
      </c>
      <c r="Y3" s="1" t="n">
        <v>46167.1028125</v>
      </c>
    </row>
    <row r="4">
      <c r="A4" t="inlineStr">
        <is>
          <t>pay_yriAIR9QxofjOa</t>
        </is>
      </c>
      <c r="B4" t="n">
        <v>1799</v>
      </c>
      <c r="C4" t="inlineStr">
        <is>
          <t>INR</t>
        </is>
      </c>
      <c r="D4" t="inlineStr">
        <is>
          <t>captured</t>
        </is>
      </c>
      <c r="E4" t="inlineStr">
        <is>
          <t>order_tJQBS2v6wLEnrT</t>
        </is>
      </c>
      <c r="G4" t="n">
        <v>0</v>
      </c>
      <c r="H4" t="inlineStr">
        <is>
          <t>netbanking</t>
        </is>
      </c>
      <c r="I4" t="n">
        <v>0</v>
      </c>
      <c r="J4" t="n">
        <v>0</v>
      </c>
      <c r="L4" t="n">
        <v>1</v>
      </c>
      <c r="R4" t="inlineStr">
        <is>
          <t>customer852@example.com</t>
        </is>
      </c>
      <c r="S4">
        <f>+919889070818</f>
        <v/>
      </c>
      <c r="T4" t="inlineStr">
        <is>
          <t>[]</t>
        </is>
      </c>
      <c r="U4" t="n">
        <v>35.98</v>
      </c>
      <c r="V4" t="n">
        <v>6.48</v>
      </c>
      <c r="Y4" s="1" t="n">
        <v>46145.94638888889</v>
      </c>
    </row>
    <row r="5">
      <c r="A5" t="inlineStr">
        <is>
          <t>pay_demkvdajgwb2Mj</t>
        </is>
      </c>
      <c r="B5" t="n">
        <v>999</v>
      </c>
      <c r="C5" t="inlineStr">
        <is>
          <t>INR</t>
        </is>
      </c>
      <c r="D5" t="inlineStr">
        <is>
          <t>captured</t>
        </is>
      </c>
      <c r="E5" t="inlineStr">
        <is>
          <t>order_azwJ7QFMPd3W2X</t>
        </is>
      </c>
      <c r="G5" t="n">
        <v>0</v>
      </c>
      <c r="H5" t="inlineStr">
        <is>
          <t>upi</t>
        </is>
      </c>
      <c r="I5" t="n">
        <v>0</v>
      </c>
      <c r="J5" t="n">
        <v>0</v>
      </c>
      <c r="L5" t="n">
        <v>1</v>
      </c>
      <c r="R5" t="inlineStr">
        <is>
          <t>customer259@example.com</t>
        </is>
      </c>
      <c r="S5">
        <f>+919856625835</f>
        <v/>
      </c>
      <c r="T5" t="inlineStr">
        <is>
          <t>[]</t>
        </is>
      </c>
      <c r="U5" t="n">
        <v>19.98</v>
      </c>
      <c r="V5" t="n">
        <v>3.6</v>
      </c>
      <c r="Y5" s="1" t="n">
        <v>46151.85780092593</v>
      </c>
    </row>
    <row r="6">
      <c r="A6" t="inlineStr">
        <is>
          <t>pay_Nf0G4wnHFNMWVm</t>
        </is>
      </c>
      <c r="B6" t="n">
        <v>1499</v>
      </c>
      <c r="C6" t="inlineStr">
        <is>
          <t>INR</t>
        </is>
      </c>
      <c r="D6" t="inlineStr">
        <is>
          <t>captured</t>
        </is>
      </c>
      <c r="E6" t="inlineStr">
        <is>
          <t>order_h09CDfgvqZkb6G</t>
        </is>
      </c>
      <c r="G6" t="n">
        <v>0</v>
      </c>
      <c r="H6" t="inlineStr">
        <is>
          <t>netbanking</t>
        </is>
      </c>
      <c r="I6" t="n">
        <v>0</v>
      </c>
      <c r="J6" t="n">
        <v>0</v>
      </c>
      <c r="L6" t="n">
        <v>1</v>
      </c>
      <c r="R6" t="inlineStr">
        <is>
          <t>customer246@example.com</t>
        </is>
      </c>
      <c r="S6">
        <f>+919863778945</f>
        <v/>
      </c>
      <c r="T6" t="inlineStr">
        <is>
          <t>[]</t>
        </is>
      </c>
      <c r="U6" t="n">
        <v>29.98</v>
      </c>
      <c r="V6" t="n">
        <v>5.4</v>
      </c>
      <c r="Y6" s="1" t="n">
        <v>46172.24423611111</v>
      </c>
    </row>
    <row r="7">
      <c r="A7" t="inlineStr">
        <is>
          <t>pay_OXfO4WUDlWuX8y</t>
        </is>
      </c>
      <c r="B7" t="n">
        <v>999</v>
      </c>
      <c r="C7" t="inlineStr">
        <is>
          <t>INR</t>
        </is>
      </c>
      <c r="D7" t="inlineStr">
        <is>
          <t>captured</t>
        </is>
      </c>
      <c r="E7" t="inlineStr">
        <is>
          <t>order_ET9WDmLvYSv8eg</t>
        </is>
      </c>
      <c r="G7" t="n">
        <v>0</v>
      </c>
      <c r="H7" t="inlineStr">
        <is>
          <t>upi</t>
        </is>
      </c>
      <c r="I7" t="n">
        <v>0</v>
      </c>
      <c r="J7" t="n">
        <v>0</v>
      </c>
      <c r="L7" t="n">
        <v>1</v>
      </c>
      <c r="R7" t="inlineStr">
        <is>
          <t>customer412@example.com</t>
        </is>
      </c>
      <c r="S7">
        <f>+919821397668</f>
        <v/>
      </c>
      <c r="T7" t="inlineStr">
        <is>
          <t>[]</t>
        </is>
      </c>
      <c r="U7" t="n">
        <v>19.98</v>
      </c>
      <c r="V7" t="n">
        <v>3.6</v>
      </c>
      <c r="Y7" s="1" t="n">
        <v>46154.00734953704</v>
      </c>
    </row>
    <row r="8">
      <c r="A8" t="inlineStr">
        <is>
          <t>pay_jF2WLWjiMhdQGD</t>
        </is>
      </c>
      <c r="B8" t="n">
        <v>1499</v>
      </c>
      <c r="C8" t="inlineStr">
        <is>
          <t>INR</t>
        </is>
      </c>
      <c r="D8" t="inlineStr">
        <is>
          <t>captured</t>
        </is>
      </c>
      <c r="E8" t="inlineStr">
        <is>
          <t>order_2ZnpsoKqzi4vCK</t>
        </is>
      </c>
      <c r="G8" t="n">
        <v>0</v>
      </c>
      <c r="H8" t="inlineStr">
        <is>
          <t>netbanking</t>
        </is>
      </c>
      <c r="I8" t="n">
        <v>0</v>
      </c>
      <c r="J8" t="n">
        <v>0</v>
      </c>
      <c r="L8" t="n">
        <v>1</v>
      </c>
      <c r="R8" t="inlineStr">
        <is>
          <t>customer796@example.com</t>
        </is>
      </c>
      <c r="S8">
        <f>+919824241764</f>
        <v/>
      </c>
      <c r="T8" t="inlineStr">
        <is>
          <t>[]</t>
        </is>
      </c>
      <c r="U8" t="n">
        <v>29.98</v>
      </c>
      <c r="V8" t="n">
        <v>5.4</v>
      </c>
      <c r="Y8" s="1" t="n">
        <v>46149.76611111111</v>
      </c>
    </row>
    <row r="9">
      <c r="A9" t="inlineStr">
        <is>
          <t>pay_xGs7g4o2fq4lUY</t>
        </is>
      </c>
      <c r="B9" t="n">
        <v>999</v>
      </c>
      <c r="C9" t="inlineStr">
        <is>
          <t>INR</t>
        </is>
      </c>
      <c r="D9" t="inlineStr">
        <is>
          <t>captured</t>
        </is>
      </c>
      <c r="E9" t="inlineStr">
        <is>
          <t>order_27n7yE9ZkAFvmt</t>
        </is>
      </c>
      <c r="G9" t="n">
        <v>0</v>
      </c>
      <c r="H9" t="inlineStr">
        <is>
          <t>upi</t>
        </is>
      </c>
      <c r="I9" t="n">
        <v>0</v>
      </c>
      <c r="J9" t="n">
        <v>0</v>
      </c>
      <c r="L9" t="n">
        <v>1</v>
      </c>
      <c r="R9" t="inlineStr">
        <is>
          <t>customer870@example.com</t>
        </is>
      </c>
      <c r="S9">
        <f>+919844709914</f>
        <v/>
      </c>
      <c r="T9" t="inlineStr">
        <is>
          <t>[]</t>
        </is>
      </c>
      <c r="U9" t="n">
        <v>19.98</v>
      </c>
      <c r="V9" t="n">
        <v>3.6</v>
      </c>
      <c r="Y9" s="1" t="n">
        <v>46160.78188657408</v>
      </c>
    </row>
    <row r="10">
      <c r="A10" t="inlineStr">
        <is>
          <t>pay_4McR68ql5MGmBP</t>
        </is>
      </c>
      <c r="B10" t="n">
        <v>999</v>
      </c>
      <c r="C10" t="inlineStr">
        <is>
          <t>INR</t>
        </is>
      </c>
      <c r="D10" t="inlineStr">
        <is>
          <t>captured</t>
        </is>
      </c>
      <c r="E10" t="inlineStr">
        <is>
          <t>order_4JRfdQAe6NXf1e</t>
        </is>
      </c>
      <c r="G10" t="n">
        <v>0</v>
      </c>
      <c r="H10" t="inlineStr">
        <is>
          <t>upi</t>
        </is>
      </c>
      <c r="I10" t="n">
        <v>0</v>
      </c>
      <c r="J10" t="n">
        <v>0</v>
      </c>
      <c r="L10" t="n">
        <v>1</v>
      </c>
      <c r="R10" t="inlineStr">
        <is>
          <t>customer278@example.com</t>
        </is>
      </c>
      <c r="S10">
        <f>+919856573688</f>
        <v/>
      </c>
      <c r="T10" t="inlineStr">
        <is>
          <t>[]</t>
        </is>
      </c>
      <c r="U10" t="n">
        <v>19.98</v>
      </c>
      <c r="V10" t="n">
        <v>3.6</v>
      </c>
      <c r="Y10" s="1" t="n">
        <v>46162.71358796296</v>
      </c>
    </row>
    <row r="11">
      <c r="A11" t="inlineStr">
        <is>
          <t>pay_jBq78Hp7twaxDF</t>
        </is>
      </c>
      <c r="B11" t="n">
        <v>999</v>
      </c>
      <c r="C11" t="inlineStr">
        <is>
          <t>INR</t>
        </is>
      </c>
      <c r="D11" t="inlineStr">
        <is>
          <t>captured</t>
        </is>
      </c>
      <c r="E11" t="inlineStr">
        <is>
          <t>order_2Ti98ZaM2AdPxF</t>
        </is>
      </c>
      <c r="G11" t="n">
        <v>0</v>
      </c>
      <c r="H11" t="inlineStr">
        <is>
          <t>card</t>
        </is>
      </c>
      <c r="I11" t="n">
        <v>0</v>
      </c>
      <c r="J11" t="n">
        <v>0</v>
      </c>
      <c r="L11" t="n">
        <v>1</v>
      </c>
      <c r="R11" t="inlineStr">
        <is>
          <t>customer206@example.com</t>
        </is>
      </c>
      <c r="S11">
        <f>+919843310074</f>
        <v/>
      </c>
      <c r="T11" t="inlineStr">
        <is>
          <t>[]</t>
        </is>
      </c>
      <c r="U11" t="n">
        <v>19.98</v>
      </c>
      <c r="V11" t="n">
        <v>3.6</v>
      </c>
      <c r="Y11" s="1" t="n">
        <v>46159.63741898148</v>
      </c>
    </row>
    <row r="12">
      <c r="A12" t="inlineStr">
        <is>
          <t>pay_NcZ3MTYiGFZXZK</t>
        </is>
      </c>
      <c r="B12" t="n">
        <v>2499</v>
      </c>
      <c r="C12" t="inlineStr">
        <is>
          <t>INR</t>
        </is>
      </c>
      <c r="D12" t="inlineStr">
        <is>
          <t>captured</t>
        </is>
      </c>
      <c r="E12" t="inlineStr">
        <is>
          <t>order_fYiKysNf70j3WK</t>
        </is>
      </c>
      <c r="G12" t="n">
        <v>0</v>
      </c>
      <c r="H12" t="inlineStr">
        <is>
          <t>upi</t>
        </is>
      </c>
      <c r="I12" t="n">
        <v>0</v>
      </c>
      <c r="J12" t="n">
        <v>0</v>
      </c>
      <c r="L12" t="n">
        <v>1</v>
      </c>
      <c r="R12" t="inlineStr">
        <is>
          <t>customer729@example.com</t>
        </is>
      </c>
      <c r="S12">
        <f>+919896287208</f>
        <v/>
      </c>
      <c r="T12" t="inlineStr">
        <is>
          <t>[]</t>
        </is>
      </c>
      <c r="U12" t="n">
        <v>49.98</v>
      </c>
      <c r="V12" t="n">
        <v>9</v>
      </c>
      <c r="Y12" s="1" t="n">
        <v>46167.50606481481</v>
      </c>
    </row>
    <row r="13">
      <c r="A13" t="inlineStr">
        <is>
          <t>pay_eqTmT8ExDQVMNe</t>
        </is>
      </c>
      <c r="B13" t="n">
        <v>499</v>
      </c>
      <c r="C13" t="inlineStr">
        <is>
          <t>INR</t>
        </is>
      </c>
      <c r="D13" t="inlineStr">
        <is>
          <t>captured</t>
        </is>
      </c>
      <c r="E13" t="inlineStr">
        <is>
          <t>order_cN7xBdbGpqCe53</t>
        </is>
      </c>
      <c r="G13" t="n">
        <v>0</v>
      </c>
      <c r="H13" t="inlineStr">
        <is>
          <t>upi</t>
        </is>
      </c>
      <c r="I13" t="n">
        <v>0</v>
      </c>
      <c r="J13" t="n">
        <v>0</v>
      </c>
      <c r="L13" t="n">
        <v>1</v>
      </c>
      <c r="R13" t="inlineStr">
        <is>
          <t>customer151@example.com</t>
        </is>
      </c>
      <c r="S13">
        <f>+919854529810</f>
        <v/>
      </c>
      <c r="T13" t="inlineStr">
        <is>
          <t>[]</t>
        </is>
      </c>
      <c r="U13" t="n">
        <v>9.98</v>
      </c>
      <c r="V13" t="n">
        <v>1.8</v>
      </c>
      <c r="Y13" s="1" t="n">
        <v>46154.16835648148</v>
      </c>
    </row>
    <row r="14">
      <c r="A14" t="inlineStr">
        <is>
          <t>pay_CY8Bqn6nKiG7iY</t>
        </is>
      </c>
      <c r="B14" t="n">
        <v>1799</v>
      </c>
      <c r="C14" t="inlineStr">
        <is>
          <t>INR</t>
        </is>
      </c>
      <c r="D14" t="inlineStr">
        <is>
          <t>captured</t>
        </is>
      </c>
      <c r="E14" t="inlineStr">
        <is>
          <t>order_QMiDE8gnERrCV9</t>
        </is>
      </c>
      <c r="G14" t="n">
        <v>0</v>
      </c>
      <c r="H14" t="inlineStr">
        <is>
          <t>netbanking</t>
        </is>
      </c>
      <c r="I14" t="n">
        <v>0</v>
      </c>
      <c r="J14" t="n">
        <v>0</v>
      </c>
      <c r="L14" t="n">
        <v>1</v>
      </c>
      <c r="R14" t="inlineStr">
        <is>
          <t>customer521@example.com</t>
        </is>
      </c>
      <c r="S14">
        <f>+919847522967</f>
        <v/>
      </c>
      <c r="T14" t="inlineStr">
        <is>
          <t>[]</t>
        </is>
      </c>
      <c r="U14" t="n">
        <v>35.98</v>
      </c>
      <c r="V14" t="n">
        <v>6.48</v>
      </c>
      <c r="Y14" s="1" t="n">
        <v>46155.33340277777</v>
      </c>
    </row>
    <row r="15">
      <c r="A15" t="inlineStr">
        <is>
          <t>pay_rxy9KwArcgZr6p</t>
        </is>
      </c>
      <c r="B15" t="n">
        <v>1799</v>
      </c>
      <c r="C15" t="inlineStr">
        <is>
          <t>INR</t>
        </is>
      </c>
      <c r="D15" t="inlineStr">
        <is>
          <t>failed</t>
        </is>
      </c>
      <c r="E15" t="inlineStr">
        <is>
          <t>order_o3EbaEBsivt0aU</t>
        </is>
      </c>
      <c r="G15" t="n">
        <v>0</v>
      </c>
      <c r="H15" t="inlineStr">
        <is>
          <t>netbanking</t>
        </is>
      </c>
      <c r="I15" t="n">
        <v>0</v>
      </c>
      <c r="J15" t="n">
        <v>0</v>
      </c>
      <c r="L15" t="n">
        <v>0</v>
      </c>
      <c r="R15" t="inlineStr">
        <is>
          <t>customer273@example.com</t>
        </is>
      </c>
      <c r="S15">
        <f>+919868551241</f>
        <v/>
      </c>
      <c r="T15" t="inlineStr">
        <is>
          <t>[]</t>
        </is>
      </c>
      <c r="W15" t="inlineStr">
        <is>
          <t>BAD_REQUEST_ERROR</t>
        </is>
      </c>
      <c r="X15" t="inlineStr">
        <is>
          <t>Payment cancelled by user</t>
        </is>
      </c>
      <c r="Y15" s="1" t="n">
        <v>46148.4703125</v>
      </c>
    </row>
    <row r="16">
      <c r="A16" t="inlineStr">
        <is>
          <t>pay_N46ISdTBUNrd5h</t>
        </is>
      </c>
      <c r="B16" t="n">
        <v>1799</v>
      </c>
      <c r="C16" t="inlineStr">
        <is>
          <t>INR</t>
        </is>
      </c>
      <c r="D16" t="inlineStr">
        <is>
          <t>captured</t>
        </is>
      </c>
      <c r="E16" t="inlineStr">
        <is>
          <t>order_o3EbaEBsivt0aU</t>
        </is>
      </c>
      <c r="G16" t="n">
        <v>0</v>
      </c>
      <c r="H16" t="inlineStr">
        <is>
          <t>netbanking</t>
        </is>
      </c>
      <c r="I16" t="n">
        <v>0</v>
      </c>
      <c r="J16" t="n">
        <v>0</v>
      </c>
      <c r="L16" t="n">
        <v>1</v>
      </c>
      <c r="R16" t="inlineStr">
        <is>
          <t>customer484@example.com</t>
        </is>
      </c>
      <c r="S16">
        <f>+919865682459</f>
        <v/>
      </c>
      <c r="T16" t="inlineStr">
        <is>
          <t>[]</t>
        </is>
      </c>
      <c r="U16" t="n">
        <v>35.98</v>
      </c>
      <c r="V16" t="n">
        <v>6.48</v>
      </c>
      <c r="Y16" s="1" t="n">
        <v>46148.47087962963</v>
      </c>
    </row>
    <row r="17">
      <c r="A17" t="inlineStr">
        <is>
          <t>pay_FN1nqpyB702bbR</t>
        </is>
      </c>
      <c r="B17" t="n">
        <v>1499</v>
      </c>
      <c r="C17" t="inlineStr">
        <is>
          <t>INR</t>
        </is>
      </c>
      <c r="D17" t="inlineStr">
        <is>
          <t>captured</t>
        </is>
      </c>
      <c r="E17" t="inlineStr">
        <is>
          <t>order_HpkItwYmb1xUnq</t>
        </is>
      </c>
      <c r="G17" t="n">
        <v>0</v>
      </c>
      <c r="H17" t="inlineStr">
        <is>
          <t>upi</t>
        </is>
      </c>
      <c r="I17" t="n">
        <v>0</v>
      </c>
      <c r="J17" t="n">
        <v>0</v>
      </c>
      <c r="L17" t="n">
        <v>1</v>
      </c>
      <c r="R17" t="inlineStr">
        <is>
          <t>customer824@example.com</t>
        </is>
      </c>
      <c r="S17">
        <f>+919873520992</f>
        <v/>
      </c>
      <c r="T17" t="inlineStr">
        <is>
          <t>[]</t>
        </is>
      </c>
      <c r="U17" t="n">
        <v>29.98</v>
      </c>
      <c r="V17" t="n">
        <v>5.4</v>
      </c>
      <c r="Y17" s="1" t="n">
        <v>46164.84789351852</v>
      </c>
    </row>
    <row r="18">
      <c r="A18" t="inlineStr">
        <is>
          <t>pay_o5OshpNRgeGKyn</t>
        </is>
      </c>
      <c r="B18" t="n">
        <v>1499</v>
      </c>
      <c r="C18" t="inlineStr">
        <is>
          <t>INR</t>
        </is>
      </c>
      <c r="D18" t="inlineStr">
        <is>
          <t>failed</t>
        </is>
      </c>
      <c r="E18" t="inlineStr">
        <is>
          <t>order_e55GDBWnj8gZR0</t>
        </is>
      </c>
      <c r="G18" t="n">
        <v>0</v>
      </c>
      <c r="H18" t="inlineStr">
        <is>
          <t>card</t>
        </is>
      </c>
      <c r="I18" t="n">
        <v>0</v>
      </c>
      <c r="J18" t="n">
        <v>0</v>
      </c>
      <c r="L18" t="n">
        <v>0</v>
      </c>
      <c r="R18" t="inlineStr">
        <is>
          <t>customer616@example.com</t>
        </is>
      </c>
      <c r="S18">
        <f>+919810154622</f>
        <v/>
      </c>
      <c r="T18" t="inlineStr">
        <is>
          <t>[]</t>
        </is>
      </c>
      <c r="W18" t="inlineStr">
        <is>
          <t>BAD_REQUEST_ERROR</t>
        </is>
      </c>
      <c r="X18" t="inlineStr">
        <is>
          <t>Card declined by bank</t>
        </is>
      </c>
      <c r="Y18" s="1" t="n">
        <v>46171.50482638889</v>
      </c>
    </row>
    <row r="19">
      <c r="A19" t="inlineStr">
        <is>
          <t>pay_E4dK5dbKzSlBSt</t>
        </is>
      </c>
      <c r="B19" t="n">
        <v>1499</v>
      </c>
      <c r="C19" t="inlineStr">
        <is>
          <t>INR</t>
        </is>
      </c>
      <c r="D19" t="inlineStr">
        <is>
          <t>failed</t>
        </is>
      </c>
      <c r="E19" t="inlineStr">
        <is>
          <t>order_RSwyas0eEmVmCq</t>
        </is>
      </c>
      <c r="G19" t="n">
        <v>0</v>
      </c>
      <c r="H19" t="inlineStr">
        <is>
          <t>card</t>
        </is>
      </c>
      <c r="I19" t="n">
        <v>0</v>
      </c>
      <c r="J19" t="n">
        <v>0</v>
      </c>
      <c r="L19" t="n">
        <v>0</v>
      </c>
      <c r="R19" t="inlineStr">
        <is>
          <t>customer116@example.com</t>
        </is>
      </c>
      <c r="S19">
        <f>+919820651678</f>
        <v/>
      </c>
      <c r="T19" t="inlineStr">
        <is>
          <t>[]</t>
        </is>
      </c>
      <c r="W19" t="inlineStr">
        <is>
          <t>BAD_REQUEST_ERROR</t>
        </is>
      </c>
      <c r="X19" t="inlineStr">
        <is>
          <t>Card declined by bank</t>
        </is>
      </c>
      <c r="Y19" s="1" t="n">
        <v>46154.01180555556</v>
      </c>
    </row>
    <row r="20">
      <c r="A20" t="inlineStr">
        <is>
          <t>pay_Pxxukarv7h7mwY</t>
        </is>
      </c>
      <c r="B20" t="n">
        <v>1499</v>
      </c>
      <c r="C20" t="inlineStr">
        <is>
          <t>INR</t>
        </is>
      </c>
      <c r="D20" t="inlineStr">
        <is>
          <t>refunded</t>
        </is>
      </c>
      <c r="E20" t="inlineStr">
        <is>
          <t>order_RSwyas0eEmVmCq</t>
        </is>
      </c>
      <c r="G20" t="n">
        <v>0</v>
      </c>
      <c r="H20" t="inlineStr">
        <is>
          <t>netbanking</t>
        </is>
      </c>
      <c r="I20" t="n">
        <v>1499</v>
      </c>
      <c r="J20" t="n">
        <v>0</v>
      </c>
      <c r="K20" t="inlineStr">
        <is>
          <t>full</t>
        </is>
      </c>
      <c r="L20" t="n">
        <v>1</v>
      </c>
      <c r="R20" t="inlineStr">
        <is>
          <t>customer842@example.com</t>
        </is>
      </c>
      <c r="S20">
        <f>+919868042367</f>
        <v/>
      </c>
      <c r="T20" t="inlineStr">
        <is>
          <t>[]</t>
        </is>
      </c>
      <c r="U20" t="n">
        <v>29.98</v>
      </c>
      <c r="V20" t="n">
        <v>5.4</v>
      </c>
      <c r="Y20" s="1" t="n">
        <v>46154.01756944445</v>
      </c>
    </row>
    <row r="21">
      <c r="A21" t="inlineStr">
        <is>
          <t>pay_u7cUQ5sSKX6eZg</t>
        </is>
      </c>
      <c r="B21" t="n">
        <v>499</v>
      </c>
      <c r="C21" t="inlineStr">
        <is>
          <t>INR</t>
        </is>
      </c>
      <c r="D21" t="inlineStr">
        <is>
          <t>captured</t>
        </is>
      </c>
      <c r="E21" t="inlineStr">
        <is>
          <t>order_Dx5lw3bzYVccd5</t>
        </is>
      </c>
      <c r="G21" t="n">
        <v>0</v>
      </c>
      <c r="H21" t="inlineStr">
        <is>
          <t>upi</t>
        </is>
      </c>
      <c r="I21" t="n">
        <v>0</v>
      </c>
      <c r="J21" t="n">
        <v>0</v>
      </c>
      <c r="L21" t="n">
        <v>1</v>
      </c>
      <c r="R21" t="inlineStr">
        <is>
          <t>customer733@example.com</t>
        </is>
      </c>
      <c r="S21">
        <f>+919872511088</f>
        <v/>
      </c>
      <c r="T21" t="inlineStr">
        <is>
          <t>[]</t>
        </is>
      </c>
      <c r="U21" t="n">
        <v>9.98</v>
      </c>
      <c r="V21" t="n">
        <v>1.8</v>
      </c>
      <c r="Y21" s="1" t="n">
        <v>46147.26458333333</v>
      </c>
    </row>
    <row r="22">
      <c r="A22" t="inlineStr">
        <is>
          <t>pay_ODHjAgeMmA98ki</t>
        </is>
      </c>
      <c r="B22" t="n">
        <v>2499</v>
      </c>
      <c r="C22" t="inlineStr">
        <is>
          <t>INR</t>
        </is>
      </c>
      <c r="D22" t="inlineStr">
        <is>
          <t>captured</t>
        </is>
      </c>
      <c r="E22" t="inlineStr">
        <is>
          <t>order_4YiEa5sQjo1CWK</t>
        </is>
      </c>
      <c r="G22" t="n">
        <v>0</v>
      </c>
      <c r="H22" t="inlineStr">
        <is>
          <t>card</t>
        </is>
      </c>
      <c r="I22" t="n">
        <v>0</v>
      </c>
      <c r="J22" t="n">
        <v>0</v>
      </c>
      <c r="L22" t="n">
        <v>1</v>
      </c>
      <c r="R22" t="inlineStr">
        <is>
          <t>customer472@example.com</t>
        </is>
      </c>
      <c r="S22">
        <f>+919893256282</f>
        <v/>
      </c>
      <c r="T22" t="inlineStr">
        <is>
          <t>[]</t>
        </is>
      </c>
      <c r="U22" t="n">
        <v>49.98</v>
      </c>
      <c r="V22" t="n">
        <v>9</v>
      </c>
      <c r="Y22" s="1" t="n">
        <v>46161.76658564815</v>
      </c>
    </row>
    <row r="23">
      <c r="A23" t="inlineStr">
        <is>
          <t>pay_oYO9gDY04cshl8</t>
        </is>
      </c>
      <c r="B23" t="n">
        <v>1799</v>
      </c>
      <c r="C23" t="inlineStr">
        <is>
          <t>INR</t>
        </is>
      </c>
      <c r="D23" t="inlineStr">
        <is>
          <t>captured</t>
        </is>
      </c>
      <c r="E23" t="inlineStr">
        <is>
          <t>order_0Ph0sJxTmppj2J</t>
        </is>
      </c>
      <c r="G23" t="n">
        <v>0</v>
      </c>
      <c r="H23" t="inlineStr">
        <is>
          <t>upi</t>
        </is>
      </c>
      <c r="I23" t="n">
        <v>0</v>
      </c>
      <c r="J23" t="n">
        <v>0</v>
      </c>
      <c r="L23" t="n">
        <v>1</v>
      </c>
      <c r="R23" t="inlineStr">
        <is>
          <t>customer598@example.com</t>
        </is>
      </c>
      <c r="S23">
        <f>+919836059929</f>
        <v/>
      </c>
      <c r="T23" t="inlineStr">
        <is>
          <t>[]</t>
        </is>
      </c>
      <c r="U23" t="n">
        <v>35.98</v>
      </c>
      <c r="V23" t="n">
        <v>6.48</v>
      </c>
      <c r="Y23" s="1" t="n">
        <v>46154.40800925926</v>
      </c>
    </row>
    <row r="24">
      <c r="A24" t="inlineStr">
        <is>
          <t>pay_dU2zbVXNyz6Ajh</t>
        </is>
      </c>
      <c r="B24" t="n">
        <v>2499</v>
      </c>
      <c r="C24" t="inlineStr">
        <is>
          <t>INR</t>
        </is>
      </c>
      <c r="D24" t="inlineStr">
        <is>
          <t>captured</t>
        </is>
      </c>
      <c r="E24" t="inlineStr">
        <is>
          <t>order_zxMebEDzXPjHOy</t>
        </is>
      </c>
      <c r="G24" t="n">
        <v>0</v>
      </c>
      <c r="H24" t="inlineStr">
        <is>
          <t>upi</t>
        </is>
      </c>
      <c r="I24" t="n">
        <v>0</v>
      </c>
      <c r="J24" t="n">
        <v>0</v>
      </c>
      <c r="L24" t="n">
        <v>1</v>
      </c>
      <c r="R24" t="inlineStr">
        <is>
          <t>customer93@example.com</t>
        </is>
      </c>
      <c r="S24">
        <f>+919864521614</f>
        <v/>
      </c>
      <c r="T24" t="inlineStr">
        <is>
          <t>[]</t>
        </is>
      </c>
      <c r="U24" t="n">
        <v>49.98</v>
      </c>
      <c r="V24" t="n">
        <v>9</v>
      </c>
      <c r="Y24" s="1" t="n">
        <v>46143.55629629629</v>
      </c>
    </row>
    <row r="25">
      <c r="A25" t="inlineStr">
        <is>
          <t>pay_Zc4tLNfSQ3N1MM</t>
        </is>
      </c>
      <c r="B25" t="n">
        <v>2499</v>
      </c>
      <c r="C25" t="inlineStr">
        <is>
          <t>INR</t>
        </is>
      </c>
      <c r="D25" t="inlineStr">
        <is>
          <t>captured</t>
        </is>
      </c>
      <c r="E25" t="inlineStr">
        <is>
          <t>order_CkaIN4fMwFjrG5</t>
        </is>
      </c>
      <c r="G25" t="n">
        <v>0</v>
      </c>
      <c r="H25" t="inlineStr">
        <is>
          <t>card</t>
        </is>
      </c>
      <c r="I25" t="n">
        <v>0</v>
      </c>
      <c r="J25" t="n">
        <v>0</v>
      </c>
      <c r="L25" t="n">
        <v>1</v>
      </c>
      <c r="R25" t="inlineStr">
        <is>
          <t>customer201@example.com</t>
        </is>
      </c>
      <c r="S25">
        <f>+919873478973</f>
        <v/>
      </c>
      <c r="T25" t="inlineStr">
        <is>
          <t>[]</t>
        </is>
      </c>
      <c r="U25" t="n">
        <v>49.98</v>
      </c>
      <c r="V25" t="n">
        <v>9</v>
      </c>
      <c r="Y25" s="1" t="n">
        <v>46171.05175925926</v>
      </c>
    </row>
    <row r="26">
      <c r="A26" t="inlineStr">
        <is>
          <t>pay_tpywFla9CBMYZY</t>
        </is>
      </c>
      <c r="B26" t="n">
        <v>1499</v>
      </c>
      <c r="C26" t="inlineStr">
        <is>
          <t>INR</t>
        </is>
      </c>
      <c r="D26" t="inlineStr">
        <is>
          <t>captured</t>
        </is>
      </c>
      <c r="E26" t="inlineStr">
        <is>
          <t>order_c6jwj8Yl20PPuy</t>
        </is>
      </c>
      <c r="G26" t="n">
        <v>0</v>
      </c>
      <c r="H26" t="inlineStr">
        <is>
          <t>card</t>
        </is>
      </c>
      <c r="I26" t="n">
        <v>0</v>
      </c>
      <c r="J26" t="n">
        <v>0</v>
      </c>
      <c r="L26" t="n">
        <v>1</v>
      </c>
      <c r="R26" t="inlineStr">
        <is>
          <t>customer410@example.com</t>
        </is>
      </c>
      <c r="S26">
        <f>+919824371507</f>
        <v/>
      </c>
      <c r="T26" t="inlineStr">
        <is>
          <t>[]</t>
        </is>
      </c>
      <c r="U26" t="n">
        <v>29.98</v>
      </c>
      <c r="V26" t="n">
        <v>5.4</v>
      </c>
      <c r="Y26" s="1" t="n">
        <v>46151.88594907407</v>
      </c>
    </row>
    <row r="27">
      <c r="A27" t="inlineStr">
        <is>
          <t>pay_8E74kW5evUj3rY</t>
        </is>
      </c>
      <c r="B27" t="n">
        <v>999</v>
      </c>
      <c r="C27" t="inlineStr">
        <is>
          <t>INR</t>
        </is>
      </c>
      <c r="D27" t="inlineStr">
        <is>
          <t>captured</t>
        </is>
      </c>
      <c r="E27" t="inlineStr">
        <is>
          <t>order_AfBFcNfTWFdFx6</t>
        </is>
      </c>
      <c r="G27" t="n">
        <v>0</v>
      </c>
      <c r="H27" t="inlineStr">
        <is>
          <t>upi</t>
        </is>
      </c>
      <c r="I27" t="n">
        <v>0</v>
      </c>
      <c r="J27" t="n">
        <v>0</v>
      </c>
      <c r="L27" t="n">
        <v>1</v>
      </c>
      <c r="R27" t="inlineStr">
        <is>
          <t>customer148@example.com</t>
        </is>
      </c>
      <c r="S27">
        <f>+919844112965</f>
        <v/>
      </c>
      <c r="T27" t="inlineStr">
        <is>
          <t>[]</t>
        </is>
      </c>
      <c r="U27" t="n">
        <v>19.98</v>
      </c>
      <c r="V27" t="n">
        <v>3.6</v>
      </c>
      <c r="Y27" s="1" t="n">
        <v>46146.25990740741</v>
      </c>
    </row>
    <row r="28">
      <c r="A28" t="inlineStr">
        <is>
          <t>pay_J2g9NyXq9JwVBk</t>
        </is>
      </c>
      <c r="B28" t="n">
        <v>3999</v>
      </c>
      <c r="C28" t="inlineStr">
        <is>
          <t>INR</t>
        </is>
      </c>
      <c r="D28" t="inlineStr">
        <is>
          <t>captured</t>
        </is>
      </c>
      <c r="E28" t="inlineStr">
        <is>
          <t>order_DKMoxmzNruxXqV</t>
        </is>
      </c>
      <c r="G28" t="n">
        <v>0</v>
      </c>
      <c r="H28" t="inlineStr">
        <is>
          <t>upi</t>
        </is>
      </c>
      <c r="I28" t="n">
        <v>0</v>
      </c>
      <c r="J28" t="n">
        <v>0</v>
      </c>
      <c r="L28" t="n">
        <v>1</v>
      </c>
      <c r="R28" t="inlineStr">
        <is>
          <t>customer762@example.com</t>
        </is>
      </c>
      <c r="S28">
        <f>+919816481569</f>
        <v/>
      </c>
      <c r="T28" t="inlineStr">
        <is>
          <t>[]</t>
        </is>
      </c>
      <c r="U28" t="n">
        <v>79.98</v>
      </c>
      <c r="V28" t="n">
        <v>14.4</v>
      </c>
      <c r="Y28" s="1" t="n">
        <v>46167.38584490741</v>
      </c>
    </row>
    <row r="29">
      <c r="A29" t="inlineStr">
        <is>
          <t>pay_wgwnKKmMDi6pjf</t>
        </is>
      </c>
      <c r="B29" t="n">
        <v>2499</v>
      </c>
      <c r="C29" t="inlineStr">
        <is>
          <t>INR</t>
        </is>
      </c>
      <c r="D29" t="inlineStr">
        <is>
          <t>captured</t>
        </is>
      </c>
      <c r="E29" t="inlineStr">
        <is>
          <t>order_pN9KPtacjMAF3i</t>
        </is>
      </c>
      <c r="G29" t="n">
        <v>0</v>
      </c>
      <c r="H29" t="inlineStr">
        <is>
          <t>upi</t>
        </is>
      </c>
      <c r="I29" t="n">
        <v>0</v>
      </c>
      <c r="J29" t="n">
        <v>0</v>
      </c>
      <c r="L29" t="n">
        <v>1</v>
      </c>
      <c r="R29" t="inlineStr">
        <is>
          <t>customer654@example.com</t>
        </is>
      </c>
      <c r="S29">
        <f>+919829420181</f>
        <v/>
      </c>
      <c r="T29" t="inlineStr">
        <is>
          <t>[]</t>
        </is>
      </c>
      <c r="U29" t="n">
        <v>49.98</v>
      </c>
      <c r="V29" t="n">
        <v>9</v>
      </c>
      <c r="Y29" s="1" t="n">
        <v>46157.38885416667</v>
      </c>
    </row>
    <row r="30">
      <c r="A30" t="inlineStr">
        <is>
          <t>pay_I6imLFNYktsd3W</t>
        </is>
      </c>
      <c r="B30" t="n">
        <v>1499</v>
      </c>
      <c r="C30" t="inlineStr">
        <is>
          <t>INR</t>
        </is>
      </c>
      <c r="D30" t="inlineStr">
        <is>
          <t>captured</t>
        </is>
      </c>
      <c r="E30" t="inlineStr">
        <is>
          <t>order_qaNIvOB6Tp4cGz</t>
        </is>
      </c>
      <c r="G30" t="n">
        <v>0</v>
      </c>
      <c r="H30" t="inlineStr">
        <is>
          <t>netbanking</t>
        </is>
      </c>
      <c r="I30" t="n">
        <v>0</v>
      </c>
      <c r="J30" t="n">
        <v>0</v>
      </c>
      <c r="L30" t="n">
        <v>1</v>
      </c>
      <c r="R30" t="inlineStr">
        <is>
          <t>customer733@example.com</t>
        </is>
      </c>
      <c r="S30">
        <f>+919882263676</f>
        <v/>
      </c>
      <c r="T30" t="inlineStr">
        <is>
          <t>[]</t>
        </is>
      </c>
      <c r="U30" t="n">
        <v>29.98</v>
      </c>
      <c r="V30" t="n">
        <v>5.4</v>
      </c>
      <c r="Y30" s="1" t="n">
        <v>46156.09702546296</v>
      </c>
    </row>
    <row r="31">
      <c r="A31" t="inlineStr">
        <is>
          <t>pay_s53fFk40mj4lyL</t>
        </is>
      </c>
      <c r="B31" t="n">
        <v>1499</v>
      </c>
      <c r="C31" t="inlineStr">
        <is>
          <t>INR</t>
        </is>
      </c>
      <c r="D31" t="inlineStr">
        <is>
          <t>failed</t>
        </is>
      </c>
      <c r="E31" t="inlineStr">
        <is>
          <t>order_B4eOk9qNh356qd</t>
        </is>
      </c>
      <c r="G31" t="n">
        <v>0</v>
      </c>
      <c r="H31" t="inlineStr">
        <is>
          <t>upi</t>
        </is>
      </c>
      <c r="I31" t="n">
        <v>0</v>
      </c>
      <c r="J31" t="n">
        <v>0</v>
      </c>
      <c r="L31" t="n">
        <v>0</v>
      </c>
      <c r="R31" t="inlineStr">
        <is>
          <t>customer389@example.com</t>
        </is>
      </c>
      <c r="S31">
        <f>+919894650589</f>
        <v/>
      </c>
      <c r="T31" t="inlineStr">
        <is>
          <t>[]</t>
        </is>
      </c>
      <c r="W31" t="inlineStr">
        <is>
          <t>BAD_REQUEST_ERROR</t>
        </is>
      </c>
      <c r="X31" t="inlineStr">
        <is>
          <t>UPI app declined the request</t>
        </is>
      </c>
      <c r="Y31" s="1" t="n">
        <v>46143.31465277778</v>
      </c>
    </row>
    <row r="32">
      <c r="A32" t="inlineStr">
        <is>
          <t>pay_NRTeKwYY3e146g</t>
        </is>
      </c>
      <c r="B32" t="n">
        <v>1799</v>
      </c>
      <c r="C32" t="inlineStr">
        <is>
          <t>INR</t>
        </is>
      </c>
      <c r="D32" t="inlineStr">
        <is>
          <t>captured</t>
        </is>
      </c>
      <c r="E32" t="inlineStr">
        <is>
          <t>order_1BSJtnMe4ibg5v</t>
        </is>
      </c>
      <c r="G32" t="n">
        <v>0</v>
      </c>
      <c r="H32" t="inlineStr">
        <is>
          <t>upi</t>
        </is>
      </c>
      <c r="I32" t="n">
        <v>0</v>
      </c>
      <c r="J32" t="n">
        <v>0</v>
      </c>
      <c r="L32" t="n">
        <v>1</v>
      </c>
      <c r="R32" t="inlineStr">
        <is>
          <t>customer211@example.com</t>
        </is>
      </c>
      <c r="S32">
        <f>+919837267733</f>
        <v/>
      </c>
      <c r="T32" t="inlineStr">
        <is>
          <t>[]</t>
        </is>
      </c>
      <c r="U32" t="n">
        <v>35.98</v>
      </c>
      <c r="V32" t="n">
        <v>6.48</v>
      </c>
      <c r="Y32" s="1" t="n">
        <v>46168.76082175926</v>
      </c>
    </row>
    <row r="33">
      <c r="A33" t="inlineStr">
        <is>
          <t>pay_LDrUWbGgDcJSZJ</t>
        </is>
      </c>
      <c r="B33" t="n">
        <v>499</v>
      </c>
      <c r="C33" t="inlineStr">
        <is>
          <t>INR</t>
        </is>
      </c>
      <c r="D33" t="inlineStr">
        <is>
          <t>failed</t>
        </is>
      </c>
      <c r="E33" t="inlineStr">
        <is>
          <t>order_64UfUNDiXOsuqv</t>
        </is>
      </c>
      <c r="G33" t="n">
        <v>0</v>
      </c>
      <c r="H33" t="inlineStr">
        <is>
          <t>card</t>
        </is>
      </c>
      <c r="I33" t="n">
        <v>0</v>
      </c>
      <c r="J33" t="n">
        <v>0</v>
      </c>
      <c r="L33" t="n">
        <v>0</v>
      </c>
      <c r="R33" t="inlineStr">
        <is>
          <t>customer295@example.com</t>
        </is>
      </c>
      <c r="S33">
        <f>+919832866843</f>
        <v/>
      </c>
      <c r="T33" t="inlineStr">
        <is>
          <t>[]</t>
        </is>
      </c>
      <c r="W33" t="inlineStr">
        <is>
          <t>BAD_REQUEST_ERROR</t>
        </is>
      </c>
      <c r="X33" t="inlineStr">
        <is>
          <t>Payment failed due to incorrect OTP</t>
        </is>
      </c>
      <c r="Y33" s="1" t="n">
        <v>46148.43961805556</v>
      </c>
    </row>
    <row r="34">
      <c r="A34" t="inlineStr">
        <is>
          <t>pay_EEXlEvZq6rnREg</t>
        </is>
      </c>
      <c r="B34" t="n">
        <v>499</v>
      </c>
      <c r="C34" t="inlineStr">
        <is>
          <t>INR</t>
        </is>
      </c>
      <c r="D34" t="inlineStr">
        <is>
          <t>captured</t>
        </is>
      </c>
      <c r="E34" t="inlineStr">
        <is>
          <t>order_64UfUNDiXOsuqv</t>
        </is>
      </c>
      <c r="G34" t="n">
        <v>0</v>
      </c>
      <c r="H34" t="inlineStr">
        <is>
          <t>card</t>
        </is>
      </c>
      <c r="I34" t="n">
        <v>0</v>
      </c>
      <c r="J34" t="n">
        <v>0</v>
      </c>
      <c r="L34" t="n">
        <v>1</v>
      </c>
      <c r="R34" t="inlineStr">
        <is>
          <t>customer652@example.com</t>
        </is>
      </c>
      <c r="S34">
        <f>+919820855878</f>
        <v/>
      </c>
      <c r="T34" t="inlineStr">
        <is>
          <t>[]</t>
        </is>
      </c>
      <c r="U34" t="n">
        <v>9.98</v>
      </c>
      <c r="V34" t="n">
        <v>1.8</v>
      </c>
      <c r="Y34" s="1" t="n">
        <v>46148.44048611111</v>
      </c>
    </row>
    <row r="35">
      <c r="A35" t="inlineStr">
        <is>
          <t>pay_qUZMS8SLvo7q79</t>
        </is>
      </c>
      <c r="B35" t="n">
        <v>999</v>
      </c>
      <c r="C35" t="inlineStr">
        <is>
          <t>INR</t>
        </is>
      </c>
      <c r="D35" t="inlineStr">
        <is>
          <t>captured</t>
        </is>
      </c>
      <c r="E35" t="inlineStr">
        <is>
          <t>order_CGUUOvuj0PUkBV</t>
        </is>
      </c>
      <c r="G35" t="n">
        <v>0</v>
      </c>
      <c r="H35" t="inlineStr">
        <is>
          <t>upi</t>
        </is>
      </c>
      <c r="I35" t="n">
        <v>0</v>
      </c>
      <c r="J35" t="n">
        <v>0</v>
      </c>
      <c r="L35" t="n">
        <v>1</v>
      </c>
      <c r="R35" t="inlineStr">
        <is>
          <t>customer169@example.com</t>
        </is>
      </c>
      <c r="S35">
        <f>+919898301822</f>
        <v/>
      </c>
      <c r="T35" t="inlineStr">
        <is>
          <t>[]</t>
        </is>
      </c>
      <c r="U35" t="n">
        <v>19.98</v>
      </c>
      <c r="V35" t="n">
        <v>3.6</v>
      </c>
      <c r="Y35" s="1" t="n">
        <v>46173.62262731481</v>
      </c>
    </row>
    <row r="36">
      <c r="A36" t="inlineStr">
        <is>
          <t>pay_zT4AJUAoS2VR0Q</t>
        </is>
      </c>
      <c r="B36" t="n">
        <v>999</v>
      </c>
      <c r="C36" t="inlineStr">
        <is>
          <t>INR</t>
        </is>
      </c>
      <c r="D36" t="inlineStr">
        <is>
          <t>captured</t>
        </is>
      </c>
      <c r="E36" t="inlineStr">
        <is>
          <t>order_jjssqg4r2Ca0Bn</t>
        </is>
      </c>
      <c r="G36" t="n">
        <v>0</v>
      </c>
      <c r="H36" t="inlineStr">
        <is>
          <t>upi</t>
        </is>
      </c>
      <c r="I36" t="n">
        <v>0</v>
      </c>
      <c r="J36" t="n">
        <v>0</v>
      </c>
      <c r="L36" t="n">
        <v>1</v>
      </c>
      <c r="R36" t="inlineStr">
        <is>
          <t>customer657@example.com</t>
        </is>
      </c>
      <c r="S36">
        <f>+919826671921</f>
        <v/>
      </c>
      <c r="T36" t="inlineStr">
        <is>
          <t>[]</t>
        </is>
      </c>
      <c r="U36" t="n">
        <v>19.98</v>
      </c>
      <c r="V36" t="n">
        <v>3.6</v>
      </c>
      <c r="Y36" s="1" t="n">
        <v>46147.93730324074</v>
      </c>
    </row>
    <row r="37">
      <c r="A37" t="inlineStr">
        <is>
          <t>pay_gpnS6mv0CmDaXw</t>
        </is>
      </c>
      <c r="B37" t="n">
        <v>1499</v>
      </c>
      <c r="C37" t="inlineStr">
        <is>
          <t>INR</t>
        </is>
      </c>
      <c r="D37" t="inlineStr">
        <is>
          <t>failed</t>
        </is>
      </c>
      <c r="E37" t="inlineStr">
        <is>
          <t>order_qR3pySj0Db1GO2</t>
        </is>
      </c>
      <c r="G37" t="n">
        <v>0</v>
      </c>
      <c r="H37" t="inlineStr">
        <is>
          <t>upi</t>
        </is>
      </c>
      <c r="I37" t="n">
        <v>0</v>
      </c>
      <c r="J37" t="n">
        <v>0</v>
      </c>
      <c r="L37" t="n">
        <v>0</v>
      </c>
      <c r="R37" t="inlineStr">
        <is>
          <t>customer352@example.com</t>
        </is>
      </c>
      <c r="S37">
        <f>+919865076063</f>
        <v/>
      </c>
      <c r="T37" t="inlineStr">
        <is>
          <t>[]</t>
        </is>
      </c>
      <c r="W37" t="inlineStr">
        <is>
          <t>BAD_REQUEST_ERROR</t>
        </is>
      </c>
      <c r="X37" t="inlineStr">
        <is>
          <t>UPI app declined the request</t>
        </is>
      </c>
      <c r="Y37" s="1" t="n">
        <v>46165.04081018519</v>
      </c>
    </row>
    <row r="38">
      <c r="A38" t="inlineStr">
        <is>
          <t>pay_5TMNpxde4MPJgs</t>
        </is>
      </c>
      <c r="B38" t="n">
        <v>1499</v>
      </c>
      <c r="C38" t="inlineStr">
        <is>
          <t>INR</t>
        </is>
      </c>
      <c r="D38" t="inlineStr">
        <is>
          <t>captured</t>
        </is>
      </c>
      <c r="E38" t="inlineStr">
        <is>
          <t>order_qR3pySj0Db1GO2</t>
        </is>
      </c>
      <c r="G38" t="n">
        <v>0</v>
      </c>
      <c r="H38" t="inlineStr">
        <is>
          <t>upi</t>
        </is>
      </c>
      <c r="I38" t="n">
        <v>0</v>
      </c>
      <c r="J38" t="n">
        <v>0</v>
      </c>
      <c r="L38" t="n">
        <v>1</v>
      </c>
      <c r="R38" t="inlineStr">
        <is>
          <t>customer411@example.com</t>
        </is>
      </c>
      <c r="S38">
        <f>+919880743002</f>
        <v/>
      </c>
      <c r="T38" t="inlineStr">
        <is>
          <t>[]</t>
        </is>
      </c>
      <c r="U38" t="n">
        <v>29.98</v>
      </c>
      <c r="V38" t="n">
        <v>5.4</v>
      </c>
      <c r="Y38" s="1" t="n">
        <v>46165.04568287037</v>
      </c>
    </row>
    <row r="39">
      <c r="A39" t="inlineStr">
        <is>
          <t>pay_WDWoRQ8QDXXwOt</t>
        </is>
      </c>
      <c r="B39" t="n">
        <v>3999</v>
      </c>
      <c r="C39" t="inlineStr">
        <is>
          <t>INR</t>
        </is>
      </c>
      <c r="D39" t="inlineStr">
        <is>
          <t>captured</t>
        </is>
      </c>
      <c r="E39" t="inlineStr">
        <is>
          <t>order_7Ck5eXlNSYjPZX</t>
        </is>
      </c>
      <c r="G39" t="n">
        <v>0</v>
      </c>
      <c r="H39" t="inlineStr">
        <is>
          <t>upi</t>
        </is>
      </c>
      <c r="I39" t="n">
        <v>0</v>
      </c>
      <c r="J39" t="n">
        <v>0</v>
      </c>
      <c r="L39" t="n">
        <v>1</v>
      </c>
      <c r="R39" t="inlineStr">
        <is>
          <t>customer497@example.com</t>
        </is>
      </c>
      <c r="S39">
        <f>+919867511393</f>
        <v/>
      </c>
      <c r="T39" t="inlineStr">
        <is>
          <t>[]</t>
        </is>
      </c>
      <c r="U39" t="n">
        <v>79.98</v>
      </c>
      <c r="V39" t="n">
        <v>14.4</v>
      </c>
      <c r="Y39" s="1" t="n">
        <v>46153.63390046296</v>
      </c>
    </row>
    <row r="40">
      <c r="A40" t="inlineStr">
        <is>
          <t>pay_lCWmyHLQ8f3INs</t>
        </is>
      </c>
      <c r="B40" t="n">
        <v>1799</v>
      </c>
      <c r="C40" t="inlineStr">
        <is>
          <t>INR</t>
        </is>
      </c>
      <c r="D40" t="inlineStr">
        <is>
          <t>failed</t>
        </is>
      </c>
      <c r="E40" t="inlineStr">
        <is>
          <t>order_Ow50dZ4WiZNaa7</t>
        </is>
      </c>
      <c r="G40" t="n">
        <v>0</v>
      </c>
      <c r="H40" t="inlineStr">
        <is>
          <t>card</t>
        </is>
      </c>
      <c r="I40" t="n">
        <v>0</v>
      </c>
      <c r="J40" t="n">
        <v>0</v>
      </c>
      <c r="L40" t="n">
        <v>0</v>
      </c>
      <c r="R40" t="inlineStr">
        <is>
          <t>customer507@example.com</t>
        </is>
      </c>
      <c r="S40">
        <f>+919838601901</f>
        <v/>
      </c>
      <c r="T40" t="inlineStr">
        <is>
          <t>[]</t>
        </is>
      </c>
      <c r="W40" t="inlineStr">
        <is>
          <t>BAD_REQUEST_ERROR</t>
        </is>
      </c>
      <c r="X40" t="inlineStr">
        <is>
          <t>Payment cancelled by user</t>
        </is>
      </c>
      <c r="Y40" s="1" t="n">
        <v>46173.26322916667</v>
      </c>
    </row>
    <row r="41">
      <c r="A41" t="inlineStr">
        <is>
          <t>pay_qoiEdCiEEH1a0D</t>
        </is>
      </c>
      <c r="B41" t="n">
        <v>1799</v>
      </c>
      <c r="C41" t="inlineStr">
        <is>
          <t>INR</t>
        </is>
      </c>
      <c r="D41" t="inlineStr">
        <is>
          <t>captured</t>
        </is>
      </c>
      <c r="E41" t="inlineStr">
        <is>
          <t>order_Ow50dZ4WiZNaa7</t>
        </is>
      </c>
      <c r="G41" t="n">
        <v>0</v>
      </c>
      <c r="H41" t="inlineStr">
        <is>
          <t>card</t>
        </is>
      </c>
      <c r="I41" t="n">
        <v>0</v>
      </c>
      <c r="J41" t="n">
        <v>0</v>
      </c>
      <c r="L41" t="n">
        <v>1</v>
      </c>
      <c r="R41" t="inlineStr">
        <is>
          <t>customer577@example.com</t>
        </is>
      </c>
      <c r="S41">
        <f>+919876787613</f>
        <v/>
      </c>
      <c r="T41" t="inlineStr">
        <is>
          <t>[]</t>
        </is>
      </c>
      <c r="U41" t="n">
        <v>35.98</v>
      </c>
      <c r="V41" t="n">
        <v>6.48</v>
      </c>
      <c r="Y41" s="1" t="n">
        <v>46173.26483796296</v>
      </c>
    </row>
    <row r="42">
      <c r="A42" t="inlineStr">
        <is>
          <t>pay_1wDGVnAAIZsZzF</t>
        </is>
      </c>
      <c r="B42" t="n">
        <v>2499</v>
      </c>
      <c r="C42" t="inlineStr">
        <is>
          <t>INR</t>
        </is>
      </c>
      <c r="D42" t="inlineStr">
        <is>
          <t>captured</t>
        </is>
      </c>
      <c r="E42" t="inlineStr">
        <is>
          <t>order_xz7eNNbLQ5u8FE</t>
        </is>
      </c>
      <c r="G42" t="n">
        <v>0</v>
      </c>
      <c r="H42" t="inlineStr">
        <is>
          <t>card</t>
        </is>
      </c>
      <c r="I42" t="n">
        <v>0</v>
      </c>
      <c r="J42" t="n">
        <v>0</v>
      </c>
      <c r="L42" t="n">
        <v>1</v>
      </c>
      <c r="R42" t="inlineStr">
        <is>
          <t>customer279@example.com</t>
        </is>
      </c>
      <c r="S42">
        <f>+919877971076</f>
        <v/>
      </c>
      <c r="T42" t="inlineStr">
        <is>
          <t>[]</t>
        </is>
      </c>
      <c r="U42" t="n">
        <v>49.98</v>
      </c>
      <c r="V42" t="n">
        <v>9</v>
      </c>
      <c r="Y42" s="1" t="n">
        <v>46157.41077546297</v>
      </c>
    </row>
    <row r="43">
      <c r="A43" t="inlineStr">
        <is>
          <t>pay_OW4LMMRKQnPCVg</t>
        </is>
      </c>
      <c r="B43" t="n">
        <v>3999</v>
      </c>
      <c r="C43" t="inlineStr">
        <is>
          <t>INR</t>
        </is>
      </c>
      <c r="D43" t="inlineStr">
        <is>
          <t>captured</t>
        </is>
      </c>
      <c r="E43" t="inlineStr">
        <is>
          <t>order_OXutsKNWcS2Hds</t>
        </is>
      </c>
      <c r="G43" t="n">
        <v>0</v>
      </c>
      <c r="H43" t="inlineStr">
        <is>
          <t>card</t>
        </is>
      </c>
      <c r="I43" t="n">
        <v>0</v>
      </c>
      <c r="J43" t="n">
        <v>0</v>
      </c>
      <c r="L43" t="n">
        <v>1</v>
      </c>
      <c r="R43" t="inlineStr">
        <is>
          <t>customer186@example.com</t>
        </is>
      </c>
      <c r="S43">
        <f>+919814963055</f>
        <v/>
      </c>
      <c r="T43" t="inlineStr">
        <is>
          <t>[]</t>
        </is>
      </c>
      <c r="U43" t="n">
        <v>79.98</v>
      </c>
      <c r="V43" t="n">
        <v>14.4</v>
      </c>
      <c r="Y43" s="1" t="n">
        <v>46159.74472222223</v>
      </c>
    </row>
    <row r="44">
      <c r="A44" t="inlineStr">
        <is>
          <t>pay_4BayK68DzgNnja</t>
        </is>
      </c>
      <c r="B44" t="n">
        <v>2499</v>
      </c>
      <c r="C44" t="inlineStr">
        <is>
          <t>INR</t>
        </is>
      </c>
      <c r="D44" t="inlineStr">
        <is>
          <t>captured</t>
        </is>
      </c>
      <c r="E44" t="inlineStr">
        <is>
          <t>order_4OwZWIpsAtAN5d</t>
        </is>
      </c>
      <c r="G44" t="n">
        <v>0</v>
      </c>
      <c r="H44" t="inlineStr">
        <is>
          <t>card</t>
        </is>
      </c>
      <c r="I44" t="n">
        <v>0</v>
      </c>
      <c r="J44" t="n">
        <v>0</v>
      </c>
      <c r="L44" t="n">
        <v>1</v>
      </c>
      <c r="R44" t="inlineStr">
        <is>
          <t>customer5@example.com</t>
        </is>
      </c>
      <c r="S44">
        <f>+919811251911</f>
        <v/>
      </c>
      <c r="T44" t="inlineStr">
        <is>
          <t>[]</t>
        </is>
      </c>
      <c r="U44" t="n">
        <v>49.98</v>
      </c>
      <c r="V44" t="n">
        <v>9</v>
      </c>
      <c r="Y44" s="1" t="n">
        <v>46163.47047453704</v>
      </c>
    </row>
    <row r="45">
      <c r="A45" t="inlineStr">
        <is>
          <t>pay_34dbd2QMytL7ZL</t>
        </is>
      </c>
      <c r="B45" t="n">
        <v>3999</v>
      </c>
      <c r="C45" t="inlineStr">
        <is>
          <t>INR</t>
        </is>
      </c>
      <c r="D45" t="inlineStr">
        <is>
          <t>failed</t>
        </is>
      </c>
      <c r="E45" t="inlineStr">
        <is>
          <t>order_1nhDrJBU5wURiV</t>
        </is>
      </c>
      <c r="G45" t="n">
        <v>0</v>
      </c>
      <c r="H45" t="inlineStr">
        <is>
          <t>card</t>
        </is>
      </c>
      <c r="I45" t="n">
        <v>0</v>
      </c>
      <c r="J45" t="n">
        <v>0</v>
      </c>
      <c r="L45" t="n">
        <v>0</v>
      </c>
      <c r="R45" t="inlineStr">
        <is>
          <t>customer324@example.com</t>
        </is>
      </c>
      <c r="S45">
        <f>+919859333816</f>
        <v/>
      </c>
      <c r="T45" t="inlineStr">
        <is>
          <t>[]</t>
        </is>
      </c>
      <c r="W45" t="inlineStr">
        <is>
          <t>BAD_REQUEST_ERROR</t>
        </is>
      </c>
      <c r="X45" t="inlineStr">
        <is>
          <t>Payment cancelled by user</t>
        </is>
      </c>
      <c r="Y45" s="1" t="n">
        <v>46148.91221064814</v>
      </c>
    </row>
    <row r="46">
      <c r="A46" t="inlineStr">
        <is>
          <t>pay_LtA3xQL3YraqAK</t>
        </is>
      </c>
      <c r="B46" t="n">
        <v>1799</v>
      </c>
      <c r="C46" t="inlineStr">
        <is>
          <t>INR</t>
        </is>
      </c>
      <c r="D46" t="inlineStr">
        <is>
          <t>failed</t>
        </is>
      </c>
      <c r="E46" t="inlineStr">
        <is>
          <t>order_iXwNNzxW6WJsd8</t>
        </is>
      </c>
      <c r="G46" t="n">
        <v>0</v>
      </c>
      <c r="H46" t="inlineStr">
        <is>
          <t>card</t>
        </is>
      </c>
      <c r="I46" t="n">
        <v>0</v>
      </c>
      <c r="J46" t="n">
        <v>0</v>
      </c>
      <c r="L46" t="n">
        <v>0</v>
      </c>
      <c r="R46" t="inlineStr">
        <is>
          <t>customer836@example.com</t>
        </is>
      </c>
      <c r="S46">
        <f>+919815676950</f>
        <v/>
      </c>
      <c r="T46" t="inlineStr">
        <is>
          <t>[]</t>
        </is>
      </c>
      <c r="W46" t="inlineStr">
        <is>
          <t>BAD_REQUEST_ERROR</t>
        </is>
      </c>
      <c r="X46" t="inlineStr">
        <is>
          <t>Payment failed due to incorrect OTP</t>
        </is>
      </c>
      <c r="Y46" s="1" t="n">
        <v>46165.80702546296</v>
      </c>
    </row>
    <row r="47">
      <c r="A47" t="inlineStr">
        <is>
          <t>pay_axHHwdyGqZtFmn</t>
        </is>
      </c>
      <c r="B47" t="n">
        <v>999</v>
      </c>
      <c r="C47" t="inlineStr">
        <is>
          <t>INR</t>
        </is>
      </c>
      <c r="D47" t="inlineStr">
        <is>
          <t>captured</t>
        </is>
      </c>
      <c r="E47" t="inlineStr">
        <is>
          <t>order_8XHWEHHExWS8td</t>
        </is>
      </c>
      <c r="G47" t="n">
        <v>0</v>
      </c>
      <c r="H47" t="inlineStr">
        <is>
          <t>upi</t>
        </is>
      </c>
      <c r="I47" t="n">
        <v>0</v>
      </c>
      <c r="J47" t="n">
        <v>0</v>
      </c>
      <c r="L47" t="n">
        <v>1</v>
      </c>
      <c r="R47" t="inlineStr">
        <is>
          <t>customer95@example.com</t>
        </is>
      </c>
      <c r="S47">
        <f>+919834252240</f>
        <v/>
      </c>
      <c r="T47" t="inlineStr">
        <is>
          <t>[]</t>
        </is>
      </c>
      <c r="U47" t="n">
        <v>19.98</v>
      </c>
      <c r="V47" t="n">
        <v>3.6</v>
      </c>
      <c r="Y47" s="1" t="n">
        <v>46170.76662037037</v>
      </c>
    </row>
    <row r="48">
      <c r="A48" t="inlineStr">
        <is>
          <t>pay_JqWA6VY7pcmlfd</t>
        </is>
      </c>
      <c r="B48" t="n">
        <v>1499</v>
      </c>
      <c r="C48" t="inlineStr">
        <is>
          <t>INR</t>
        </is>
      </c>
      <c r="D48" t="inlineStr">
        <is>
          <t>captured</t>
        </is>
      </c>
      <c r="E48" t="inlineStr">
        <is>
          <t>order_IyGjc9xgNWjLvG</t>
        </is>
      </c>
      <c r="G48" t="n">
        <v>0</v>
      </c>
      <c r="H48" t="inlineStr">
        <is>
          <t>upi</t>
        </is>
      </c>
      <c r="I48" t="n">
        <v>0</v>
      </c>
      <c r="J48" t="n">
        <v>0</v>
      </c>
      <c r="L48" t="n">
        <v>1</v>
      </c>
      <c r="R48" t="inlineStr">
        <is>
          <t>customer571@example.com</t>
        </is>
      </c>
      <c r="S48">
        <f>+919859611341</f>
        <v/>
      </c>
      <c r="T48" t="inlineStr">
        <is>
          <t>[]</t>
        </is>
      </c>
      <c r="U48" t="n">
        <v>29.98</v>
      </c>
      <c r="V48" t="n">
        <v>5.4</v>
      </c>
      <c r="Y48" s="1" t="n">
        <v>46157.07515046297</v>
      </c>
    </row>
    <row r="49">
      <c r="A49" t="inlineStr">
        <is>
          <t>pay_guphDkoiQaSmc5</t>
        </is>
      </c>
      <c r="B49" t="n">
        <v>999</v>
      </c>
      <c r="C49" t="inlineStr">
        <is>
          <t>INR</t>
        </is>
      </c>
      <c r="D49" t="inlineStr">
        <is>
          <t>captured</t>
        </is>
      </c>
      <c r="E49" t="inlineStr">
        <is>
          <t>order_66dIb4pFTVDgta</t>
        </is>
      </c>
      <c r="G49" t="n">
        <v>0</v>
      </c>
      <c r="H49" t="inlineStr">
        <is>
          <t>upi</t>
        </is>
      </c>
      <c r="I49" t="n">
        <v>0</v>
      </c>
      <c r="J49" t="n">
        <v>0</v>
      </c>
      <c r="L49" t="n">
        <v>1</v>
      </c>
      <c r="R49" t="inlineStr">
        <is>
          <t>customer226@example.com</t>
        </is>
      </c>
      <c r="S49">
        <f>+919820440325</f>
        <v/>
      </c>
      <c r="T49" t="inlineStr">
        <is>
          <t>[]</t>
        </is>
      </c>
      <c r="U49" t="n">
        <v>19.98</v>
      </c>
      <c r="V49" t="n">
        <v>3.6</v>
      </c>
      <c r="Y49" s="1" t="n">
        <v>46153.76896990741</v>
      </c>
    </row>
    <row r="50">
      <c r="A50" t="inlineStr">
        <is>
          <t>pay_jzpbJsXqgCDjFN</t>
        </is>
      </c>
      <c r="B50" t="n">
        <v>2499</v>
      </c>
      <c r="C50" t="inlineStr">
        <is>
          <t>INR</t>
        </is>
      </c>
      <c r="D50" t="inlineStr">
        <is>
          <t>captured</t>
        </is>
      </c>
      <c r="E50" t="inlineStr">
        <is>
          <t>order_3iBg50MCvZDMin</t>
        </is>
      </c>
      <c r="G50" t="n">
        <v>0</v>
      </c>
      <c r="H50" t="inlineStr">
        <is>
          <t>upi</t>
        </is>
      </c>
      <c r="I50" t="n">
        <v>0</v>
      </c>
      <c r="J50" t="n">
        <v>0</v>
      </c>
      <c r="L50" t="n">
        <v>1</v>
      </c>
      <c r="R50" t="inlineStr">
        <is>
          <t>customer807@example.com</t>
        </is>
      </c>
      <c r="S50">
        <f>+919899695024</f>
        <v/>
      </c>
      <c r="T50" t="inlineStr">
        <is>
          <t>[]</t>
        </is>
      </c>
      <c r="U50" t="n">
        <v>49.98</v>
      </c>
      <c r="V50" t="n">
        <v>9</v>
      </c>
      <c r="Y50" s="1" t="n">
        <v>46173.03459490741</v>
      </c>
    </row>
    <row r="51">
      <c r="A51" t="inlineStr">
        <is>
          <t>pay_BW6rwczrl0GokL</t>
        </is>
      </c>
      <c r="B51" t="n">
        <v>1499</v>
      </c>
      <c r="C51" t="inlineStr">
        <is>
          <t>INR</t>
        </is>
      </c>
      <c r="D51" t="inlineStr">
        <is>
          <t>captured</t>
        </is>
      </c>
      <c r="E51" t="inlineStr">
        <is>
          <t>order_ZhU8AqooyzkZ8i</t>
        </is>
      </c>
      <c r="G51" t="n">
        <v>0</v>
      </c>
      <c r="H51" t="inlineStr">
        <is>
          <t>card</t>
        </is>
      </c>
      <c r="I51" t="n">
        <v>0</v>
      </c>
      <c r="J51" t="n">
        <v>0</v>
      </c>
      <c r="L51" t="n">
        <v>1</v>
      </c>
      <c r="R51" t="inlineStr">
        <is>
          <t>customer849@example.com</t>
        </is>
      </c>
      <c r="S51">
        <f>+919821733449</f>
        <v/>
      </c>
      <c r="T51" t="inlineStr">
        <is>
          <t>[]</t>
        </is>
      </c>
      <c r="U51" t="n">
        <v>29.98</v>
      </c>
      <c r="V51" t="n">
        <v>5.4</v>
      </c>
      <c r="Y51" s="1" t="n">
        <v>46153.255</v>
      </c>
    </row>
    <row r="52">
      <c r="A52" t="inlineStr">
        <is>
          <t>pay_1J3sgTBbXipfMk</t>
        </is>
      </c>
      <c r="B52" t="n">
        <v>499</v>
      </c>
      <c r="C52" t="inlineStr">
        <is>
          <t>INR</t>
        </is>
      </c>
      <c r="D52" t="inlineStr">
        <is>
          <t>failed</t>
        </is>
      </c>
      <c r="E52" t="inlineStr">
        <is>
          <t>order_zViPpI9cRJ1w58</t>
        </is>
      </c>
      <c r="G52" t="n">
        <v>0</v>
      </c>
      <c r="H52" t="inlineStr">
        <is>
          <t>card</t>
        </is>
      </c>
      <c r="I52" t="n">
        <v>0</v>
      </c>
      <c r="J52" t="n">
        <v>0</v>
      </c>
      <c r="L52" t="n">
        <v>0</v>
      </c>
      <c r="R52" t="inlineStr">
        <is>
          <t>customer320@example.com</t>
        </is>
      </c>
      <c r="S52">
        <f>+919843615914</f>
        <v/>
      </c>
      <c r="T52" t="inlineStr">
        <is>
          <t>[]</t>
        </is>
      </c>
      <c r="W52" t="inlineStr">
        <is>
          <t>BAD_REQUEST_ERROR</t>
        </is>
      </c>
      <c r="X52" t="inlineStr">
        <is>
          <t>Payment cancelled by user</t>
        </is>
      </c>
      <c r="Y52" s="1" t="n">
        <v>46166.93762731482</v>
      </c>
    </row>
    <row r="53">
      <c r="A53" t="inlineStr">
        <is>
          <t>pay_ooPCy6bNRLLc8d</t>
        </is>
      </c>
      <c r="B53" t="n">
        <v>499</v>
      </c>
      <c r="C53" t="inlineStr">
        <is>
          <t>INR</t>
        </is>
      </c>
      <c r="D53" t="inlineStr">
        <is>
          <t>captured</t>
        </is>
      </c>
      <c r="E53" t="inlineStr">
        <is>
          <t>order_5TqZNCoBvflqCK</t>
        </is>
      </c>
      <c r="G53" t="n">
        <v>0</v>
      </c>
      <c r="H53" t="inlineStr">
        <is>
          <t>upi</t>
        </is>
      </c>
      <c r="I53" t="n">
        <v>0</v>
      </c>
      <c r="J53" t="n">
        <v>0</v>
      </c>
      <c r="L53" t="n">
        <v>1</v>
      </c>
      <c r="R53" t="inlineStr">
        <is>
          <t>customer372@example.com</t>
        </is>
      </c>
      <c r="S53">
        <f>+919855439218</f>
        <v/>
      </c>
      <c r="T53" t="inlineStr">
        <is>
          <t>[]</t>
        </is>
      </c>
      <c r="U53" t="n">
        <v>9.98</v>
      </c>
      <c r="V53" t="n">
        <v>1.8</v>
      </c>
      <c r="Y53" s="1" t="n">
        <v>46144.46177083333</v>
      </c>
    </row>
    <row r="54">
      <c r="A54" t="inlineStr">
        <is>
          <t>pay_Fbi8W6NY22cNqQ</t>
        </is>
      </c>
      <c r="B54" t="n">
        <v>999</v>
      </c>
      <c r="C54" t="inlineStr">
        <is>
          <t>INR</t>
        </is>
      </c>
      <c r="D54" t="inlineStr">
        <is>
          <t>captured</t>
        </is>
      </c>
      <c r="E54" t="inlineStr">
        <is>
          <t>order_uB8X4Y0dG75pAN</t>
        </is>
      </c>
      <c r="G54" t="n">
        <v>0</v>
      </c>
      <c r="H54" t="inlineStr">
        <is>
          <t>upi</t>
        </is>
      </c>
      <c r="I54" t="n">
        <v>0</v>
      </c>
      <c r="J54" t="n">
        <v>0</v>
      </c>
      <c r="L54" t="n">
        <v>1</v>
      </c>
      <c r="R54" t="inlineStr">
        <is>
          <t>customer280@example.com</t>
        </is>
      </c>
      <c r="S54">
        <f>+919894322199</f>
        <v/>
      </c>
      <c r="T54" t="inlineStr">
        <is>
          <t>[]</t>
        </is>
      </c>
      <c r="U54" t="n">
        <v>19.98</v>
      </c>
      <c r="V54" t="n">
        <v>3.6</v>
      </c>
      <c r="Y54" s="1" t="n">
        <v>46162.45645833333</v>
      </c>
    </row>
    <row r="55">
      <c r="A55" t="inlineStr">
        <is>
          <t>pay_24JqTTrCRnxIw3</t>
        </is>
      </c>
      <c r="B55" t="n">
        <v>2499</v>
      </c>
      <c r="C55" t="inlineStr">
        <is>
          <t>INR</t>
        </is>
      </c>
      <c r="D55" t="inlineStr">
        <is>
          <t>captured</t>
        </is>
      </c>
      <c r="E55" t="inlineStr">
        <is>
          <t>order_cghaochvkd753f</t>
        </is>
      </c>
      <c r="G55" t="n">
        <v>0</v>
      </c>
      <c r="H55" t="inlineStr">
        <is>
          <t>upi</t>
        </is>
      </c>
      <c r="I55" t="n">
        <v>0</v>
      </c>
      <c r="J55" t="n">
        <v>0</v>
      </c>
      <c r="L55" t="n">
        <v>1</v>
      </c>
      <c r="R55" t="inlineStr">
        <is>
          <t>customer311@example.com</t>
        </is>
      </c>
      <c r="S55">
        <f>+919892248581</f>
        <v/>
      </c>
      <c r="T55" t="inlineStr">
        <is>
          <t>[]</t>
        </is>
      </c>
      <c r="U55" t="n">
        <v>49.98</v>
      </c>
      <c r="V55" t="n">
        <v>9</v>
      </c>
      <c r="Y55" s="1" t="n">
        <v>46169.32552083334</v>
      </c>
    </row>
    <row r="56">
      <c r="A56" t="inlineStr">
        <is>
          <t>pay_2BdyBTgn7TjuvP</t>
        </is>
      </c>
      <c r="B56" t="n">
        <v>1499</v>
      </c>
      <c r="C56" t="inlineStr">
        <is>
          <t>INR</t>
        </is>
      </c>
      <c r="D56" t="inlineStr">
        <is>
          <t>captured</t>
        </is>
      </c>
      <c r="E56" t="inlineStr">
        <is>
          <t>order_tpnFxKav1oIEr9</t>
        </is>
      </c>
      <c r="G56" t="n">
        <v>0</v>
      </c>
      <c r="H56" t="inlineStr">
        <is>
          <t>upi</t>
        </is>
      </c>
      <c r="I56" t="n">
        <v>0</v>
      </c>
      <c r="J56" t="n">
        <v>0</v>
      </c>
      <c r="L56" t="n">
        <v>1</v>
      </c>
      <c r="R56" t="inlineStr">
        <is>
          <t>customer632@example.com</t>
        </is>
      </c>
      <c r="S56">
        <f>+919891974354</f>
        <v/>
      </c>
      <c r="T56" t="inlineStr">
        <is>
          <t>[]</t>
        </is>
      </c>
      <c r="U56" t="n">
        <v>29.98</v>
      </c>
      <c r="V56" t="n">
        <v>5.4</v>
      </c>
      <c r="Y56" s="1" t="n">
        <v>46166.20435185185</v>
      </c>
    </row>
    <row r="57">
      <c r="A57" t="inlineStr">
        <is>
          <t>pay_LxCCSsyIxtW0EB</t>
        </is>
      </c>
      <c r="B57" t="n">
        <v>2499</v>
      </c>
      <c r="C57" t="inlineStr">
        <is>
          <t>INR</t>
        </is>
      </c>
      <c r="D57" t="inlineStr">
        <is>
          <t>failed</t>
        </is>
      </c>
      <c r="E57" t="inlineStr">
        <is>
          <t>order_GTUVDWR4h1aVKE</t>
        </is>
      </c>
      <c r="G57" t="n">
        <v>0</v>
      </c>
      <c r="H57" t="inlineStr">
        <is>
          <t>card</t>
        </is>
      </c>
      <c r="I57" t="n">
        <v>0</v>
      </c>
      <c r="J57" t="n">
        <v>0</v>
      </c>
      <c r="L57" t="n">
        <v>0</v>
      </c>
      <c r="R57" t="inlineStr">
        <is>
          <t>customer189@example.com</t>
        </is>
      </c>
      <c r="S57">
        <f>+919882058044</f>
        <v/>
      </c>
      <c r="T57" t="inlineStr">
        <is>
          <t>[]</t>
        </is>
      </c>
      <c r="W57" t="inlineStr">
        <is>
          <t>BAD_REQUEST_ERROR</t>
        </is>
      </c>
      <c r="X57" t="inlineStr">
        <is>
          <t>Payment failed due to incorrect OTP</t>
        </is>
      </c>
      <c r="Y57" s="1" t="n">
        <v>46156.43829861111</v>
      </c>
    </row>
    <row r="58">
      <c r="A58" t="inlineStr">
        <is>
          <t>pay_BM9vGYkt8ZFg3Q</t>
        </is>
      </c>
      <c r="B58" t="n">
        <v>1799</v>
      </c>
      <c r="C58" t="inlineStr">
        <is>
          <t>INR</t>
        </is>
      </c>
      <c r="D58" t="inlineStr">
        <is>
          <t>captured</t>
        </is>
      </c>
      <c r="E58" t="inlineStr">
        <is>
          <t>order_BZTACcPCaeozFO</t>
        </is>
      </c>
      <c r="G58" t="n">
        <v>0</v>
      </c>
      <c r="H58" t="inlineStr">
        <is>
          <t>upi</t>
        </is>
      </c>
      <c r="I58" t="n">
        <v>0</v>
      </c>
      <c r="J58" t="n">
        <v>0</v>
      </c>
      <c r="L58" t="n">
        <v>1</v>
      </c>
      <c r="R58" t="inlineStr">
        <is>
          <t>customer841@example.com</t>
        </is>
      </c>
      <c r="S58">
        <f>+919878300764</f>
        <v/>
      </c>
      <c r="T58" t="inlineStr">
        <is>
          <t>[]</t>
        </is>
      </c>
      <c r="U58" t="n">
        <v>35.98</v>
      </c>
      <c r="V58" t="n">
        <v>6.48</v>
      </c>
      <c r="Y58" s="1" t="n">
        <v>46169.14678240741</v>
      </c>
    </row>
    <row r="59">
      <c r="A59" t="inlineStr">
        <is>
          <t>pay_PmEIqOG9JzhjVg</t>
        </is>
      </c>
      <c r="B59" t="n">
        <v>1799</v>
      </c>
      <c r="C59" t="inlineStr">
        <is>
          <t>INR</t>
        </is>
      </c>
      <c r="D59" t="inlineStr">
        <is>
          <t>captured</t>
        </is>
      </c>
      <c r="E59" t="inlineStr">
        <is>
          <t>order_GYm3zdJgJNSQaa</t>
        </is>
      </c>
      <c r="G59" t="n">
        <v>0</v>
      </c>
      <c r="H59" t="inlineStr">
        <is>
          <t>upi</t>
        </is>
      </c>
      <c r="I59" t="n">
        <v>0</v>
      </c>
      <c r="J59" t="n">
        <v>0</v>
      </c>
      <c r="L59" t="n">
        <v>1</v>
      </c>
      <c r="R59" t="inlineStr">
        <is>
          <t>customer103@example.com</t>
        </is>
      </c>
      <c r="S59">
        <f>+919820218005</f>
        <v/>
      </c>
      <c r="T59" t="inlineStr">
        <is>
          <t>[]</t>
        </is>
      </c>
      <c r="U59" t="n">
        <v>35.98</v>
      </c>
      <c r="V59" t="n">
        <v>6.48</v>
      </c>
      <c r="Y59" s="1" t="n">
        <v>46163.43342592593</v>
      </c>
    </row>
    <row r="60">
      <c r="A60" t="inlineStr">
        <is>
          <t>pay_nyVcdonjKka1Cz</t>
        </is>
      </c>
      <c r="B60" t="n">
        <v>3999</v>
      </c>
      <c r="C60" t="inlineStr">
        <is>
          <t>INR</t>
        </is>
      </c>
      <c r="D60" t="inlineStr">
        <is>
          <t>captured</t>
        </is>
      </c>
      <c r="E60" t="inlineStr">
        <is>
          <t>order_ECAXOQJiorcM16</t>
        </is>
      </c>
      <c r="G60" t="n">
        <v>0</v>
      </c>
      <c r="H60" t="inlineStr">
        <is>
          <t>upi</t>
        </is>
      </c>
      <c r="I60" t="n">
        <v>0</v>
      </c>
      <c r="J60" t="n">
        <v>0</v>
      </c>
      <c r="L60" t="n">
        <v>1</v>
      </c>
      <c r="R60" t="inlineStr">
        <is>
          <t>customer259@example.com</t>
        </is>
      </c>
      <c r="S60">
        <f>+919876511845</f>
        <v/>
      </c>
      <c r="T60" t="inlineStr">
        <is>
          <t>[]</t>
        </is>
      </c>
      <c r="U60" t="n">
        <v>79.98</v>
      </c>
      <c r="V60" t="n">
        <v>14.4</v>
      </c>
      <c r="Y60" s="1" t="n">
        <v>46151.28347222223</v>
      </c>
    </row>
    <row r="61">
      <c r="A61" t="inlineStr">
        <is>
          <t>pay_ehZvplrocPvjRf</t>
        </is>
      </c>
      <c r="B61" t="n">
        <v>999</v>
      </c>
      <c r="C61" t="inlineStr">
        <is>
          <t>INR</t>
        </is>
      </c>
      <c r="D61" t="inlineStr">
        <is>
          <t>captured</t>
        </is>
      </c>
      <c r="E61" t="inlineStr">
        <is>
          <t>order_ySnt2EXpkwl8sI</t>
        </is>
      </c>
      <c r="G61" t="n">
        <v>0</v>
      </c>
      <c r="H61" t="inlineStr">
        <is>
          <t>netbanking</t>
        </is>
      </c>
      <c r="I61" t="n">
        <v>0</v>
      </c>
      <c r="J61" t="n">
        <v>0</v>
      </c>
      <c r="L61" t="n">
        <v>1</v>
      </c>
      <c r="R61" t="inlineStr">
        <is>
          <t>customer277@example.com</t>
        </is>
      </c>
      <c r="S61">
        <f>+919883130706</f>
        <v/>
      </c>
      <c r="T61" t="inlineStr">
        <is>
          <t>[]</t>
        </is>
      </c>
      <c r="U61" t="n">
        <v>19.98</v>
      </c>
      <c r="V61" t="n">
        <v>3.6</v>
      </c>
      <c r="Y61" s="1" t="n">
        <v>46146.28225694445</v>
      </c>
    </row>
    <row r="62">
      <c r="A62" t="inlineStr">
        <is>
          <t>pay_zFhUQf0TVbSiaS</t>
        </is>
      </c>
      <c r="B62" t="n">
        <v>1499</v>
      </c>
      <c r="C62" t="inlineStr">
        <is>
          <t>INR</t>
        </is>
      </c>
      <c r="D62" t="inlineStr">
        <is>
          <t>captured</t>
        </is>
      </c>
      <c r="E62" t="inlineStr">
        <is>
          <t>order_CXownzNKsDm1P6</t>
        </is>
      </c>
      <c r="G62" t="n">
        <v>0</v>
      </c>
      <c r="H62" t="inlineStr">
        <is>
          <t>upi</t>
        </is>
      </c>
      <c r="I62" t="n">
        <v>0</v>
      </c>
      <c r="J62" t="n">
        <v>0</v>
      </c>
      <c r="L62" t="n">
        <v>1</v>
      </c>
      <c r="R62" t="inlineStr">
        <is>
          <t>customer712@example.com</t>
        </is>
      </c>
      <c r="S62">
        <f>+919833762872</f>
        <v/>
      </c>
      <c r="T62" t="inlineStr">
        <is>
          <t>[]</t>
        </is>
      </c>
      <c r="U62" t="n">
        <v>29.98</v>
      </c>
      <c r="V62" t="n">
        <v>5.4</v>
      </c>
      <c r="Y62" s="1" t="n">
        <v>46149.20837962963</v>
      </c>
    </row>
    <row r="63">
      <c r="A63" t="inlineStr">
        <is>
          <t>pay_2KR8QctWv4zU9M</t>
        </is>
      </c>
      <c r="B63" t="n">
        <v>1499</v>
      </c>
      <c r="C63" t="inlineStr">
        <is>
          <t>INR</t>
        </is>
      </c>
      <c r="D63" t="inlineStr">
        <is>
          <t>failed</t>
        </is>
      </c>
      <c r="E63" t="inlineStr">
        <is>
          <t>order_LAUjTIN6JoEG5P</t>
        </is>
      </c>
      <c r="G63" t="n">
        <v>0</v>
      </c>
      <c r="H63" t="inlineStr">
        <is>
          <t>upi</t>
        </is>
      </c>
      <c r="I63" t="n">
        <v>0</v>
      </c>
      <c r="J63" t="n">
        <v>0</v>
      </c>
      <c r="L63" t="n">
        <v>0</v>
      </c>
      <c r="R63" t="inlineStr">
        <is>
          <t>customer227@example.com</t>
        </is>
      </c>
      <c r="S63">
        <f>+919847737420</f>
        <v/>
      </c>
      <c r="T63" t="inlineStr">
        <is>
          <t>[]</t>
        </is>
      </c>
      <c r="W63" t="inlineStr">
        <is>
          <t>BAD_REQUEST_ERROR</t>
        </is>
      </c>
      <c r="X63" t="inlineStr">
        <is>
          <t>Payment was not completed on time</t>
        </is>
      </c>
      <c r="Y63" s="1" t="n">
        <v>46144.96736111111</v>
      </c>
    </row>
    <row r="64">
      <c r="A64" t="inlineStr">
        <is>
          <t>pay_QTZMCdRAF5hVcR</t>
        </is>
      </c>
      <c r="B64" t="n">
        <v>1499</v>
      </c>
      <c r="C64" t="inlineStr">
        <is>
          <t>INR</t>
        </is>
      </c>
      <c r="D64" t="inlineStr">
        <is>
          <t>failed</t>
        </is>
      </c>
      <c r="E64" t="inlineStr">
        <is>
          <t>order_LAUjTIN6JoEG5P</t>
        </is>
      </c>
      <c r="G64" t="n">
        <v>0</v>
      </c>
      <c r="H64" t="inlineStr">
        <is>
          <t>upi</t>
        </is>
      </c>
      <c r="I64" t="n">
        <v>0</v>
      </c>
      <c r="J64" t="n">
        <v>0</v>
      </c>
      <c r="L64" t="n">
        <v>0</v>
      </c>
      <c r="R64" t="inlineStr">
        <is>
          <t>customer826@example.com</t>
        </is>
      </c>
      <c r="S64">
        <f>+919885044730</f>
        <v/>
      </c>
      <c r="T64" t="inlineStr">
        <is>
          <t>[]</t>
        </is>
      </c>
      <c r="W64" t="inlineStr">
        <is>
          <t>BAD_REQUEST_ERROR</t>
        </is>
      </c>
      <c r="X64" t="inlineStr">
        <is>
          <t>UPI app declined the request</t>
        </is>
      </c>
      <c r="Y64" s="1" t="n">
        <v>46144.97283564815</v>
      </c>
    </row>
    <row r="65">
      <c r="A65" t="inlineStr">
        <is>
          <t>pay_pdwzmtiRPooFB6</t>
        </is>
      </c>
      <c r="B65" t="n">
        <v>1499</v>
      </c>
      <c r="C65" t="inlineStr">
        <is>
          <t>INR</t>
        </is>
      </c>
      <c r="D65" t="inlineStr">
        <is>
          <t>captured</t>
        </is>
      </c>
      <c r="E65" t="inlineStr">
        <is>
          <t>order_LAUjTIN6JoEG5P</t>
        </is>
      </c>
      <c r="G65" t="n">
        <v>0</v>
      </c>
      <c r="H65" t="inlineStr">
        <is>
          <t>card</t>
        </is>
      </c>
      <c r="I65" t="n">
        <v>0</v>
      </c>
      <c r="J65" t="n">
        <v>0</v>
      </c>
      <c r="L65" t="n">
        <v>1</v>
      </c>
      <c r="R65" t="inlineStr">
        <is>
          <t>customer360@example.com</t>
        </is>
      </c>
      <c r="S65">
        <f>+919850181065</f>
        <v/>
      </c>
      <c r="T65" t="inlineStr">
        <is>
          <t>[]</t>
        </is>
      </c>
      <c r="U65" t="n">
        <v>29.98</v>
      </c>
      <c r="V65" t="n">
        <v>5.4</v>
      </c>
      <c r="Y65" s="1" t="n">
        <v>46144.97585648148</v>
      </c>
    </row>
    <row r="66">
      <c r="A66" t="inlineStr">
        <is>
          <t>pay_gt7kBJrIcD8EUu</t>
        </is>
      </c>
      <c r="B66" t="n">
        <v>2499</v>
      </c>
      <c r="C66" t="inlineStr">
        <is>
          <t>INR</t>
        </is>
      </c>
      <c r="D66" t="inlineStr">
        <is>
          <t>captured</t>
        </is>
      </c>
      <c r="E66" t="inlineStr">
        <is>
          <t>order_iIuYHVkPLCVZhr</t>
        </is>
      </c>
      <c r="G66" t="n">
        <v>0</v>
      </c>
      <c r="H66" t="inlineStr">
        <is>
          <t>upi</t>
        </is>
      </c>
      <c r="I66" t="n">
        <v>0</v>
      </c>
      <c r="J66" t="n">
        <v>0</v>
      </c>
      <c r="L66" t="n">
        <v>1</v>
      </c>
      <c r="R66" t="inlineStr">
        <is>
          <t>customer757@example.com</t>
        </is>
      </c>
      <c r="S66">
        <f>+919885652278</f>
        <v/>
      </c>
      <c r="T66" t="inlineStr">
        <is>
          <t>[]</t>
        </is>
      </c>
      <c r="U66" t="n">
        <v>49.98</v>
      </c>
      <c r="V66" t="n">
        <v>9</v>
      </c>
      <c r="Y66" s="1" t="n">
        <v>46149.47943287037</v>
      </c>
    </row>
    <row r="67">
      <c r="A67" t="inlineStr">
        <is>
          <t>pay_59ydnAT9LMioiN</t>
        </is>
      </c>
      <c r="B67" t="n">
        <v>1499</v>
      </c>
      <c r="C67" t="inlineStr">
        <is>
          <t>INR</t>
        </is>
      </c>
      <c r="D67" t="inlineStr">
        <is>
          <t>failed</t>
        </is>
      </c>
      <c r="E67" t="inlineStr">
        <is>
          <t>order_7G3QgStMxOwoi5</t>
        </is>
      </c>
      <c r="G67" t="n">
        <v>0</v>
      </c>
      <c r="H67" t="inlineStr">
        <is>
          <t>upi</t>
        </is>
      </c>
      <c r="I67" t="n">
        <v>0</v>
      </c>
      <c r="J67" t="n">
        <v>0</v>
      </c>
      <c r="L67" t="n">
        <v>0</v>
      </c>
      <c r="R67" t="inlineStr">
        <is>
          <t>customer412@example.com</t>
        </is>
      </c>
      <c r="S67">
        <f>+919822034116</f>
        <v/>
      </c>
      <c r="T67" t="inlineStr">
        <is>
          <t>[]</t>
        </is>
      </c>
      <c r="W67" t="inlineStr">
        <is>
          <t>BAD_REQUEST_ERROR</t>
        </is>
      </c>
      <c r="X67" t="inlineStr">
        <is>
          <t>Payment was not completed on time</t>
        </is>
      </c>
      <c r="Y67" s="1" t="n">
        <v>46157.39162037037</v>
      </c>
    </row>
    <row r="68">
      <c r="A68" t="inlineStr">
        <is>
          <t>pay_JDHGAHMjyLfYSu</t>
        </is>
      </c>
      <c r="B68" t="n">
        <v>999</v>
      </c>
      <c r="C68" t="inlineStr">
        <is>
          <t>INR</t>
        </is>
      </c>
      <c r="D68" t="inlineStr">
        <is>
          <t>captured</t>
        </is>
      </c>
      <c r="E68" t="inlineStr">
        <is>
          <t>order_Sa01WArPFAuBPZ</t>
        </is>
      </c>
      <c r="G68" t="n">
        <v>0</v>
      </c>
      <c r="H68" t="inlineStr">
        <is>
          <t>upi</t>
        </is>
      </c>
      <c r="I68" t="n">
        <v>0</v>
      </c>
      <c r="J68" t="n">
        <v>0</v>
      </c>
      <c r="L68" t="n">
        <v>1</v>
      </c>
      <c r="R68" t="inlineStr">
        <is>
          <t>customer675@example.com</t>
        </is>
      </c>
      <c r="S68">
        <f>+919849867858</f>
        <v/>
      </c>
      <c r="T68" t="inlineStr">
        <is>
          <t>[]</t>
        </is>
      </c>
      <c r="U68" t="n">
        <v>19.98</v>
      </c>
      <c r="V68" t="n">
        <v>3.6</v>
      </c>
      <c r="Y68" s="1" t="n">
        <v>46166.27952546296</v>
      </c>
    </row>
    <row r="69">
      <c r="A69" t="inlineStr">
        <is>
          <t>pay_hl3Hg1pfGpEIoJ</t>
        </is>
      </c>
      <c r="B69" t="n">
        <v>1799</v>
      </c>
      <c r="C69" t="inlineStr">
        <is>
          <t>INR</t>
        </is>
      </c>
      <c r="D69" t="inlineStr">
        <is>
          <t>captured</t>
        </is>
      </c>
      <c r="E69" t="inlineStr">
        <is>
          <t>order_7DOsv2blQBfOxK</t>
        </is>
      </c>
      <c r="G69" t="n">
        <v>0</v>
      </c>
      <c r="H69" t="inlineStr">
        <is>
          <t>upi</t>
        </is>
      </c>
      <c r="I69" t="n">
        <v>0</v>
      </c>
      <c r="J69" t="n">
        <v>0</v>
      </c>
      <c r="L69" t="n">
        <v>1</v>
      </c>
      <c r="R69" t="inlineStr">
        <is>
          <t>customer116@example.com</t>
        </is>
      </c>
      <c r="S69">
        <f>+919878878441</f>
        <v/>
      </c>
      <c r="T69" t="inlineStr">
        <is>
          <t>[]</t>
        </is>
      </c>
      <c r="U69" t="n">
        <v>35.98</v>
      </c>
      <c r="V69" t="n">
        <v>6.48</v>
      </c>
      <c r="Y69" s="1" t="n">
        <v>46170.43460648148</v>
      </c>
    </row>
    <row r="70">
      <c r="A70" t="inlineStr">
        <is>
          <t>pay_MzccR7Chi4f9mh</t>
        </is>
      </c>
      <c r="B70" t="n">
        <v>1499</v>
      </c>
      <c r="C70" t="inlineStr">
        <is>
          <t>INR</t>
        </is>
      </c>
      <c r="D70" t="inlineStr">
        <is>
          <t>captured</t>
        </is>
      </c>
      <c r="E70" t="inlineStr">
        <is>
          <t>order_0QXiFFZ6M7FCQH</t>
        </is>
      </c>
      <c r="G70" t="n">
        <v>0</v>
      </c>
      <c r="H70" t="inlineStr">
        <is>
          <t>card</t>
        </is>
      </c>
      <c r="I70" t="n">
        <v>0</v>
      </c>
      <c r="J70" t="n">
        <v>0</v>
      </c>
      <c r="L70" t="n">
        <v>1</v>
      </c>
      <c r="R70" t="inlineStr">
        <is>
          <t>customer746@example.com</t>
        </is>
      </c>
      <c r="S70">
        <f>+919857601865</f>
        <v/>
      </c>
      <c r="T70" t="inlineStr">
        <is>
          <t>[]</t>
        </is>
      </c>
      <c r="U70" t="n">
        <v>29.98</v>
      </c>
      <c r="V70" t="n">
        <v>5.4</v>
      </c>
      <c r="Y70" s="1" t="n">
        <v>46171.56854166667</v>
      </c>
    </row>
    <row r="71">
      <c r="A71" t="inlineStr">
        <is>
          <t>pay_lBZKhbgXlIrQxi</t>
        </is>
      </c>
      <c r="B71" t="n">
        <v>1499</v>
      </c>
      <c r="C71" t="inlineStr">
        <is>
          <t>INR</t>
        </is>
      </c>
      <c r="D71" t="inlineStr">
        <is>
          <t>captured</t>
        </is>
      </c>
      <c r="E71" t="inlineStr">
        <is>
          <t>order_0XTapoFGwEYvwu</t>
        </is>
      </c>
      <c r="G71" t="n">
        <v>0</v>
      </c>
      <c r="H71" t="inlineStr">
        <is>
          <t>netbanking</t>
        </is>
      </c>
      <c r="I71" t="n">
        <v>0</v>
      </c>
      <c r="J71" t="n">
        <v>0</v>
      </c>
      <c r="L71" t="n">
        <v>1</v>
      </c>
      <c r="R71" t="inlineStr">
        <is>
          <t>customer897@example.com</t>
        </is>
      </c>
      <c r="S71">
        <f>+919843589747</f>
        <v/>
      </c>
      <c r="T71" t="inlineStr">
        <is>
          <t>[]</t>
        </is>
      </c>
      <c r="U71" t="n">
        <v>29.98</v>
      </c>
      <c r="V71" t="n">
        <v>5.4</v>
      </c>
      <c r="Y71" s="1" t="n">
        <v>46151.15893518519</v>
      </c>
    </row>
    <row r="72">
      <c r="A72" t="inlineStr">
        <is>
          <t>pay_Leun3KckwDJyva</t>
        </is>
      </c>
      <c r="B72" t="n">
        <v>3999</v>
      </c>
      <c r="C72" t="inlineStr">
        <is>
          <t>INR</t>
        </is>
      </c>
      <c r="D72" t="inlineStr">
        <is>
          <t>failed</t>
        </is>
      </c>
      <c r="E72" t="inlineStr">
        <is>
          <t>order_VqBb9EEbZeMNL0</t>
        </is>
      </c>
      <c r="G72" t="n">
        <v>0</v>
      </c>
      <c r="H72" t="inlineStr">
        <is>
          <t>upi</t>
        </is>
      </c>
      <c r="I72" t="n">
        <v>0</v>
      </c>
      <c r="J72" t="n">
        <v>0</v>
      </c>
      <c r="L72" t="n">
        <v>0</v>
      </c>
      <c r="R72" t="inlineStr">
        <is>
          <t>customer594@example.com</t>
        </is>
      </c>
      <c r="S72">
        <f>+919874885917</f>
        <v/>
      </c>
      <c r="T72" t="inlineStr">
        <is>
          <t>[]</t>
        </is>
      </c>
      <c r="W72" t="inlineStr">
        <is>
          <t>BAD_REQUEST_ERROR</t>
        </is>
      </c>
      <c r="X72" t="inlineStr">
        <is>
          <t>UPI app declined the request</t>
        </is>
      </c>
      <c r="Y72" s="1" t="n">
        <v>46169.14129629629</v>
      </c>
    </row>
    <row r="73">
      <c r="A73" t="inlineStr">
        <is>
          <t>pay_Tixd9wJKiR43fm</t>
        </is>
      </c>
      <c r="B73" t="n">
        <v>3999</v>
      </c>
      <c r="C73" t="inlineStr">
        <is>
          <t>INR</t>
        </is>
      </c>
      <c r="D73" t="inlineStr">
        <is>
          <t>captured</t>
        </is>
      </c>
      <c r="E73" t="inlineStr">
        <is>
          <t>order_VqBb9EEbZeMNL0</t>
        </is>
      </c>
      <c r="G73" t="n">
        <v>0</v>
      </c>
      <c r="H73" t="inlineStr">
        <is>
          <t>netbanking</t>
        </is>
      </c>
      <c r="I73" t="n">
        <v>0</v>
      </c>
      <c r="J73" t="n">
        <v>0</v>
      </c>
      <c r="L73" t="n">
        <v>1</v>
      </c>
      <c r="R73" t="inlineStr">
        <is>
          <t>customer437@example.com</t>
        </is>
      </c>
      <c r="S73">
        <f>+919894973487</f>
        <v/>
      </c>
      <c r="T73" t="inlineStr">
        <is>
          <t>[]</t>
        </is>
      </c>
      <c r="U73" t="n">
        <v>79.98</v>
      </c>
      <c r="V73" t="n">
        <v>14.4</v>
      </c>
      <c r="Y73" s="1" t="n">
        <v>46169.14206018519</v>
      </c>
    </row>
    <row r="74">
      <c r="A74" t="inlineStr">
        <is>
          <t>pay_3Y9jm3PzyV5KiS</t>
        </is>
      </c>
      <c r="B74" t="n">
        <v>1799</v>
      </c>
      <c r="C74" t="inlineStr">
        <is>
          <t>INR</t>
        </is>
      </c>
      <c r="D74" t="inlineStr">
        <is>
          <t>captured</t>
        </is>
      </c>
      <c r="E74" t="inlineStr">
        <is>
          <t>order_wrX26QsVTFNvIz</t>
        </is>
      </c>
      <c r="G74" t="n">
        <v>0</v>
      </c>
      <c r="H74" t="inlineStr">
        <is>
          <t>card</t>
        </is>
      </c>
      <c r="I74" t="n">
        <v>0</v>
      </c>
      <c r="J74" t="n">
        <v>0</v>
      </c>
      <c r="L74" t="n">
        <v>1</v>
      </c>
      <c r="R74" t="inlineStr">
        <is>
          <t>customer259@example.com</t>
        </is>
      </c>
      <c r="S74">
        <f>+919886758926</f>
        <v/>
      </c>
      <c r="T74" t="inlineStr">
        <is>
          <t>[]</t>
        </is>
      </c>
      <c r="U74" t="n">
        <v>35.98</v>
      </c>
      <c r="V74" t="n">
        <v>6.48</v>
      </c>
      <c r="Y74" s="1" t="n">
        <v>46170.76261574074</v>
      </c>
    </row>
    <row r="75">
      <c r="A75" t="inlineStr">
        <is>
          <t>pay_MobcB3rFgodhde</t>
        </is>
      </c>
      <c r="B75" t="n">
        <v>1799</v>
      </c>
      <c r="C75" t="inlineStr">
        <is>
          <t>INR</t>
        </is>
      </c>
      <c r="D75" t="inlineStr">
        <is>
          <t>captured</t>
        </is>
      </c>
      <c r="E75" t="inlineStr">
        <is>
          <t>order_7el5KsvD8QS5Zt</t>
        </is>
      </c>
      <c r="G75" t="n">
        <v>0</v>
      </c>
      <c r="H75" t="inlineStr">
        <is>
          <t>upi</t>
        </is>
      </c>
      <c r="I75" t="n">
        <v>0</v>
      </c>
      <c r="J75" t="n">
        <v>0</v>
      </c>
      <c r="L75" t="n">
        <v>1</v>
      </c>
      <c r="R75" t="inlineStr">
        <is>
          <t>customer836@example.com</t>
        </is>
      </c>
      <c r="S75">
        <f>+919887239871</f>
        <v/>
      </c>
      <c r="T75" t="inlineStr">
        <is>
          <t>[]</t>
        </is>
      </c>
      <c r="U75" t="n">
        <v>35.98</v>
      </c>
      <c r="V75" t="n">
        <v>6.48</v>
      </c>
      <c r="Y75" s="1" t="n">
        <v>46169.76201388889</v>
      </c>
    </row>
    <row r="76">
      <c r="A76" t="inlineStr">
        <is>
          <t>pay_y62btOtzSZjbnG</t>
        </is>
      </c>
      <c r="B76" t="n">
        <v>1799</v>
      </c>
      <c r="C76" t="inlineStr">
        <is>
          <t>INR</t>
        </is>
      </c>
      <c r="D76" t="inlineStr">
        <is>
          <t>failed</t>
        </is>
      </c>
      <c r="E76" t="inlineStr">
        <is>
          <t>order_aqNaubt1bELXk1</t>
        </is>
      </c>
      <c r="G76" t="n">
        <v>0</v>
      </c>
      <c r="H76" t="inlineStr">
        <is>
          <t>card</t>
        </is>
      </c>
      <c r="I76" t="n">
        <v>0</v>
      </c>
      <c r="J76" t="n">
        <v>0</v>
      </c>
      <c r="L76" t="n">
        <v>0</v>
      </c>
      <c r="R76" t="inlineStr">
        <is>
          <t>customer861@example.com</t>
        </is>
      </c>
      <c r="S76">
        <f>+919822061879</f>
        <v/>
      </c>
      <c r="T76" t="inlineStr">
        <is>
          <t>[]</t>
        </is>
      </c>
      <c r="W76" t="inlineStr">
        <is>
          <t>BAD_REQUEST_ERROR</t>
        </is>
      </c>
      <c r="X76" t="inlineStr">
        <is>
          <t>Payment failed due to incorrect OTP</t>
        </is>
      </c>
      <c r="Y76" s="1" t="n">
        <v>46159.56777777777</v>
      </c>
    </row>
    <row r="77">
      <c r="A77" t="inlineStr">
        <is>
          <t>pay_aDOVw9oUfbidFI</t>
        </is>
      </c>
      <c r="B77" t="n">
        <v>1499</v>
      </c>
      <c r="C77" t="inlineStr">
        <is>
          <t>INR</t>
        </is>
      </c>
      <c r="D77" t="inlineStr">
        <is>
          <t>captured</t>
        </is>
      </c>
      <c r="E77" t="inlineStr">
        <is>
          <t>order_Q1j8JoMYDbOOIR</t>
        </is>
      </c>
      <c r="G77" t="n">
        <v>0</v>
      </c>
      <c r="H77" t="inlineStr">
        <is>
          <t>upi</t>
        </is>
      </c>
      <c r="I77" t="n">
        <v>0</v>
      </c>
      <c r="J77" t="n">
        <v>0</v>
      </c>
      <c r="L77" t="n">
        <v>1</v>
      </c>
      <c r="R77" t="inlineStr">
        <is>
          <t>customer187@example.com</t>
        </is>
      </c>
      <c r="S77">
        <f>+919844777568</f>
        <v/>
      </c>
      <c r="T77" t="inlineStr">
        <is>
          <t>[]</t>
        </is>
      </c>
      <c r="U77" t="n">
        <v>29.98</v>
      </c>
      <c r="V77" t="n">
        <v>5.4</v>
      </c>
      <c r="Y77" s="1" t="n">
        <v>46163.54931712963</v>
      </c>
    </row>
    <row r="78">
      <c r="A78" t="inlineStr">
        <is>
          <t>pay_Ns9nJj11qUZruE</t>
        </is>
      </c>
      <c r="B78" t="n">
        <v>999</v>
      </c>
      <c r="C78" t="inlineStr">
        <is>
          <t>INR</t>
        </is>
      </c>
      <c r="D78" t="inlineStr">
        <is>
          <t>captured</t>
        </is>
      </c>
      <c r="E78" t="inlineStr">
        <is>
          <t>order_TeOy1dIz46Mnpq</t>
        </is>
      </c>
      <c r="G78" t="n">
        <v>0</v>
      </c>
      <c r="H78" t="inlineStr">
        <is>
          <t>upi</t>
        </is>
      </c>
      <c r="I78" t="n">
        <v>0</v>
      </c>
      <c r="J78" t="n">
        <v>0</v>
      </c>
      <c r="L78" t="n">
        <v>1</v>
      </c>
      <c r="R78" t="inlineStr">
        <is>
          <t>customer256@example.com</t>
        </is>
      </c>
      <c r="S78">
        <f>+919831689277</f>
        <v/>
      </c>
      <c r="T78" t="inlineStr">
        <is>
          <t>[]</t>
        </is>
      </c>
      <c r="U78" t="n">
        <v>19.98</v>
      </c>
      <c r="V78" t="n">
        <v>3.6</v>
      </c>
      <c r="Y78" s="1" t="n">
        <v>46144.28918981482</v>
      </c>
    </row>
    <row r="79">
      <c r="A79" t="inlineStr">
        <is>
          <t>pay_jTgkQfv4S28coX</t>
        </is>
      </c>
      <c r="B79" t="n">
        <v>1799</v>
      </c>
      <c r="C79" t="inlineStr">
        <is>
          <t>INR</t>
        </is>
      </c>
      <c r="D79" t="inlineStr">
        <is>
          <t>failed</t>
        </is>
      </c>
      <c r="E79" t="inlineStr">
        <is>
          <t>order_LCJ2n2wW1l19sb</t>
        </is>
      </c>
      <c r="G79" t="n">
        <v>0</v>
      </c>
      <c r="H79" t="inlineStr">
        <is>
          <t>netbanking</t>
        </is>
      </c>
      <c r="I79" t="n">
        <v>0</v>
      </c>
      <c r="J79" t="n">
        <v>0</v>
      </c>
      <c r="L79" t="n">
        <v>0</v>
      </c>
      <c r="R79" t="inlineStr">
        <is>
          <t>customer707@example.com</t>
        </is>
      </c>
      <c r="S79">
        <f>+919812061026</f>
        <v/>
      </c>
      <c r="T79" t="inlineStr">
        <is>
          <t>[]</t>
        </is>
      </c>
      <c r="W79" t="inlineStr">
        <is>
          <t>BAD_REQUEST_ERROR</t>
        </is>
      </c>
      <c r="X79" t="inlineStr">
        <is>
          <t>Bank server unavailable</t>
        </is>
      </c>
      <c r="Y79" s="1" t="n">
        <v>46158.52501157407</v>
      </c>
    </row>
    <row r="80">
      <c r="A80" t="inlineStr">
        <is>
          <t>pay_Tc3eg78GanHNH9</t>
        </is>
      </c>
      <c r="B80" t="n">
        <v>1799</v>
      </c>
      <c r="C80" t="inlineStr">
        <is>
          <t>INR</t>
        </is>
      </c>
      <c r="D80" t="inlineStr">
        <is>
          <t>captured</t>
        </is>
      </c>
      <c r="E80" t="inlineStr">
        <is>
          <t>order_LCJ2n2wW1l19sb</t>
        </is>
      </c>
      <c r="G80" t="n">
        <v>0</v>
      </c>
      <c r="H80" t="inlineStr">
        <is>
          <t>netbanking</t>
        </is>
      </c>
      <c r="I80" t="n">
        <v>0</v>
      </c>
      <c r="J80" t="n">
        <v>0</v>
      </c>
      <c r="L80" t="n">
        <v>1</v>
      </c>
      <c r="R80" t="inlineStr">
        <is>
          <t>customer543@example.com</t>
        </is>
      </c>
      <c r="S80">
        <f>+919857455723</f>
        <v/>
      </c>
      <c r="T80" t="inlineStr">
        <is>
          <t>[]</t>
        </is>
      </c>
      <c r="U80" t="n">
        <v>35.98</v>
      </c>
      <c r="V80" t="n">
        <v>6.48</v>
      </c>
      <c r="Y80" s="1" t="n">
        <v>46158.53033564815</v>
      </c>
    </row>
    <row r="81">
      <c r="A81" t="inlineStr">
        <is>
          <t>pay_IQ82Sytz8xxzi9</t>
        </is>
      </c>
      <c r="B81" t="n">
        <v>3999</v>
      </c>
      <c r="C81" t="inlineStr">
        <is>
          <t>INR</t>
        </is>
      </c>
      <c r="D81" t="inlineStr">
        <is>
          <t>captured</t>
        </is>
      </c>
      <c r="E81" t="inlineStr">
        <is>
          <t>order_e808neRaq7mcW7</t>
        </is>
      </c>
      <c r="G81" t="n">
        <v>0</v>
      </c>
      <c r="H81" t="inlineStr">
        <is>
          <t>card</t>
        </is>
      </c>
      <c r="I81" t="n">
        <v>0</v>
      </c>
      <c r="J81" t="n">
        <v>0</v>
      </c>
      <c r="L81" t="n">
        <v>1</v>
      </c>
      <c r="R81" t="inlineStr">
        <is>
          <t>customer6@example.com</t>
        </is>
      </c>
      <c r="S81">
        <f>+919842090315</f>
        <v/>
      </c>
      <c r="T81" t="inlineStr">
        <is>
          <t>[]</t>
        </is>
      </c>
      <c r="U81" t="n">
        <v>79.98</v>
      </c>
      <c r="V81" t="n">
        <v>14.4</v>
      </c>
      <c r="Y81" s="1" t="n">
        <v>46167.09694444444</v>
      </c>
    </row>
    <row r="82">
      <c r="A82" t="inlineStr">
        <is>
          <t>pay_ODvHxZX1wd8qOZ</t>
        </is>
      </c>
      <c r="B82" t="n">
        <v>1499</v>
      </c>
      <c r="C82" t="inlineStr">
        <is>
          <t>INR</t>
        </is>
      </c>
      <c r="D82" t="inlineStr">
        <is>
          <t>captured</t>
        </is>
      </c>
      <c r="E82" t="inlineStr">
        <is>
          <t>order_9RT9ZPfMcSzIQB</t>
        </is>
      </c>
      <c r="G82" t="n">
        <v>0</v>
      </c>
      <c r="H82" t="inlineStr">
        <is>
          <t>netbanking</t>
        </is>
      </c>
      <c r="I82" t="n">
        <v>0</v>
      </c>
      <c r="J82" t="n">
        <v>0</v>
      </c>
      <c r="L82" t="n">
        <v>1</v>
      </c>
      <c r="R82" t="inlineStr">
        <is>
          <t>customer74@example.com</t>
        </is>
      </c>
      <c r="S82">
        <f>+919894409609</f>
        <v/>
      </c>
      <c r="T82" t="inlineStr">
        <is>
          <t>[]</t>
        </is>
      </c>
      <c r="U82" t="n">
        <v>29.98</v>
      </c>
      <c r="V82" t="n">
        <v>5.4</v>
      </c>
      <c r="Y82" s="1" t="n">
        <v>46172.50744212963</v>
      </c>
    </row>
    <row r="83">
      <c r="A83" t="inlineStr">
        <is>
          <t>pay_61O4tw1AzRxwPG</t>
        </is>
      </c>
      <c r="B83" t="n">
        <v>1799</v>
      </c>
      <c r="C83" t="inlineStr">
        <is>
          <t>INR</t>
        </is>
      </c>
      <c r="D83" t="inlineStr">
        <is>
          <t>captured</t>
        </is>
      </c>
      <c r="E83" t="inlineStr">
        <is>
          <t>order_5Vq01vKJ9eUwmk</t>
        </is>
      </c>
      <c r="G83" t="n">
        <v>0</v>
      </c>
      <c r="H83" t="inlineStr">
        <is>
          <t>upi</t>
        </is>
      </c>
      <c r="I83" t="n">
        <v>0</v>
      </c>
      <c r="J83" t="n">
        <v>0</v>
      </c>
      <c r="L83" t="n">
        <v>1</v>
      </c>
      <c r="R83" t="inlineStr">
        <is>
          <t>customer310@example.com</t>
        </is>
      </c>
      <c r="S83">
        <f>+919870774466</f>
        <v/>
      </c>
      <c r="T83" t="inlineStr">
        <is>
          <t>[]</t>
        </is>
      </c>
      <c r="U83" t="n">
        <v>35.98</v>
      </c>
      <c r="V83" t="n">
        <v>6.48</v>
      </c>
      <c r="Y83" s="1" t="n">
        <v>46169.36899305556</v>
      </c>
    </row>
    <row r="84">
      <c r="A84" t="inlineStr">
        <is>
          <t>pay_lSruoZfN1mAXMx</t>
        </is>
      </c>
      <c r="B84" t="n">
        <v>999</v>
      </c>
      <c r="C84" t="inlineStr">
        <is>
          <t>INR</t>
        </is>
      </c>
      <c r="D84" t="inlineStr">
        <is>
          <t>captured</t>
        </is>
      </c>
      <c r="E84" t="inlineStr">
        <is>
          <t>order_sBgNTkGaiEOMGX</t>
        </is>
      </c>
      <c r="G84" t="n">
        <v>0</v>
      </c>
      <c r="H84" t="inlineStr">
        <is>
          <t>upi</t>
        </is>
      </c>
      <c r="I84" t="n">
        <v>0</v>
      </c>
      <c r="J84" t="n">
        <v>0</v>
      </c>
      <c r="L84" t="n">
        <v>1</v>
      </c>
      <c r="R84" t="inlineStr">
        <is>
          <t>customer45@example.com</t>
        </is>
      </c>
      <c r="S84">
        <f>+919869395372</f>
        <v/>
      </c>
      <c r="T84" t="inlineStr">
        <is>
          <t>[]</t>
        </is>
      </c>
      <c r="U84" t="n">
        <v>19.98</v>
      </c>
      <c r="V84" t="n">
        <v>3.6</v>
      </c>
      <c r="Y84" s="1" t="n">
        <v>46147.27527777778</v>
      </c>
    </row>
    <row r="85">
      <c r="A85" t="inlineStr">
        <is>
          <t>pay_TycQIVVhneYgfU</t>
        </is>
      </c>
      <c r="B85" t="n">
        <v>2499</v>
      </c>
      <c r="C85" t="inlineStr">
        <is>
          <t>INR</t>
        </is>
      </c>
      <c r="D85" t="inlineStr">
        <is>
          <t>failed</t>
        </is>
      </c>
      <c r="E85" t="inlineStr">
        <is>
          <t>order_xGE3UbKCC0zD3B</t>
        </is>
      </c>
      <c r="G85" t="n">
        <v>0</v>
      </c>
      <c r="H85" t="inlineStr">
        <is>
          <t>card</t>
        </is>
      </c>
      <c r="I85" t="n">
        <v>0</v>
      </c>
      <c r="J85" t="n">
        <v>0</v>
      </c>
      <c r="L85" t="n">
        <v>0</v>
      </c>
      <c r="R85" t="inlineStr">
        <is>
          <t>customer578@example.com</t>
        </is>
      </c>
      <c r="S85">
        <f>+919870972107</f>
        <v/>
      </c>
      <c r="T85" t="inlineStr">
        <is>
          <t>[]</t>
        </is>
      </c>
      <c r="W85" t="inlineStr">
        <is>
          <t>BAD_REQUEST_ERROR</t>
        </is>
      </c>
      <c r="X85" t="inlineStr">
        <is>
          <t>Card declined by bank</t>
        </is>
      </c>
      <c r="Y85" s="1" t="n">
        <v>46146.8809837963</v>
      </c>
    </row>
    <row r="86">
      <c r="A86" t="inlineStr">
        <is>
          <t>pay_FAds1X1pmdHxCE</t>
        </is>
      </c>
      <c r="B86" t="n">
        <v>1799</v>
      </c>
      <c r="C86" t="inlineStr">
        <is>
          <t>INR</t>
        </is>
      </c>
      <c r="D86" t="inlineStr">
        <is>
          <t>captured</t>
        </is>
      </c>
      <c r="E86" t="inlineStr">
        <is>
          <t>order_DdQzK9Y2juGa9r</t>
        </is>
      </c>
      <c r="G86" t="n">
        <v>0</v>
      </c>
      <c r="H86" t="inlineStr">
        <is>
          <t>upi</t>
        </is>
      </c>
      <c r="I86" t="n">
        <v>0</v>
      </c>
      <c r="J86" t="n">
        <v>0</v>
      </c>
      <c r="L86" t="n">
        <v>1</v>
      </c>
      <c r="R86" t="inlineStr">
        <is>
          <t>customer598@example.com</t>
        </is>
      </c>
      <c r="S86">
        <f>+919828962706</f>
        <v/>
      </c>
      <c r="T86" t="inlineStr">
        <is>
          <t>[]</t>
        </is>
      </c>
      <c r="U86" t="n">
        <v>35.98</v>
      </c>
      <c r="V86" t="n">
        <v>6.48</v>
      </c>
      <c r="Y86" s="1" t="n">
        <v>46152.70483796296</v>
      </c>
    </row>
    <row r="87">
      <c r="A87" t="inlineStr">
        <is>
          <t>pay_ml1hi2YEaSTknS</t>
        </is>
      </c>
      <c r="B87" t="n">
        <v>3999</v>
      </c>
      <c r="C87" t="inlineStr">
        <is>
          <t>INR</t>
        </is>
      </c>
      <c r="D87" t="inlineStr">
        <is>
          <t>captured</t>
        </is>
      </c>
      <c r="E87" t="inlineStr">
        <is>
          <t>order_vCRPTae6ZcnBmm</t>
        </is>
      </c>
      <c r="G87" t="n">
        <v>0</v>
      </c>
      <c r="H87" t="inlineStr">
        <is>
          <t>upi</t>
        </is>
      </c>
      <c r="I87" t="n">
        <v>0</v>
      </c>
      <c r="J87" t="n">
        <v>0</v>
      </c>
      <c r="L87" t="n">
        <v>1</v>
      </c>
      <c r="R87" t="inlineStr">
        <is>
          <t>customer767@example.com</t>
        </is>
      </c>
      <c r="S87">
        <f>+919849579816</f>
        <v/>
      </c>
      <c r="T87" t="inlineStr">
        <is>
          <t>[]</t>
        </is>
      </c>
      <c r="U87" t="n">
        <v>79.98</v>
      </c>
      <c r="V87" t="n">
        <v>14.4</v>
      </c>
      <c r="Y87" s="1" t="n">
        <v>46160.75983796296</v>
      </c>
    </row>
    <row r="88">
      <c r="A88" t="inlineStr">
        <is>
          <t>pay_2XRStpIn6Po8uj</t>
        </is>
      </c>
      <c r="B88" t="n">
        <v>1499</v>
      </c>
      <c r="C88" t="inlineStr">
        <is>
          <t>INR</t>
        </is>
      </c>
      <c r="D88" t="inlineStr">
        <is>
          <t>failed</t>
        </is>
      </c>
      <c r="E88" t="inlineStr">
        <is>
          <t>order_jWSGCmfdnZRBA1</t>
        </is>
      </c>
      <c r="G88" t="n">
        <v>0</v>
      </c>
      <c r="H88" t="inlineStr">
        <is>
          <t>card</t>
        </is>
      </c>
      <c r="I88" t="n">
        <v>0</v>
      </c>
      <c r="J88" t="n">
        <v>0</v>
      </c>
      <c r="L88" t="n">
        <v>0</v>
      </c>
      <c r="R88" t="inlineStr">
        <is>
          <t>customer299@example.com</t>
        </is>
      </c>
      <c r="S88">
        <f>+919839979535</f>
        <v/>
      </c>
      <c r="T88" t="inlineStr">
        <is>
          <t>[]</t>
        </is>
      </c>
      <c r="W88" t="inlineStr">
        <is>
          <t>BAD_REQUEST_ERROR</t>
        </is>
      </c>
      <c r="X88" t="inlineStr">
        <is>
          <t>Payment cancelled by user</t>
        </is>
      </c>
      <c r="Y88" s="1" t="n">
        <v>46153.24802083334</v>
      </c>
    </row>
    <row r="89">
      <c r="A89" t="inlineStr">
        <is>
          <t>pay_Hfiq30o5cL7v6O</t>
        </is>
      </c>
      <c r="B89" t="n">
        <v>999</v>
      </c>
      <c r="C89" t="inlineStr">
        <is>
          <t>INR</t>
        </is>
      </c>
      <c r="D89" t="inlineStr">
        <is>
          <t>captured</t>
        </is>
      </c>
      <c r="E89" t="inlineStr">
        <is>
          <t>order_jluycvOnOGeEbW</t>
        </is>
      </c>
      <c r="G89" t="n">
        <v>0</v>
      </c>
      <c r="H89" t="inlineStr">
        <is>
          <t>upi</t>
        </is>
      </c>
      <c r="I89" t="n">
        <v>0</v>
      </c>
      <c r="J89" t="n">
        <v>0</v>
      </c>
      <c r="L89" t="n">
        <v>1</v>
      </c>
      <c r="R89" t="inlineStr">
        <is>
          <t>customer52@example.com</t>
        </is>
      </c>
      <c r="S89">
        <f>+919833082782</f>
        <v/>
      </c>
      <c r="T89" t="inlineStr">
        <is>
          <t>[]</t>
        </is>
      </c>
      <c r="U89" t="n">
        <v>19.98</v>
      </c>
      <c r="V89" t="n">
        <v>3.6</v>
      </c>
      <c r="Y89" s="1" t="n">
        <v>46147.54717592592</v>
      </c>
    </row>
    <row r="90">
      <c r="A90" t="inlineStr">
        <is>
          <t>pay_ZeTTwPfaNZsqgo</t>
        </is>
      </c>
      <c r="B90" t="n">
        <v>1499</v>
      </c>
      <c r="C90" t="inlineStr">
        <is>
          <t>INR</t>
        </is>
      </c>
      <c r="D90" t="inlineStr">
        <is>
          <t>captured</t>
        </is>
      </c>
      <c r="E90" t="inlineStr">
        <is>
          <t>order_DuwgZYSCUhkycc</t>
        </is>
      </c>
      <c r="G90" t="n">
        <v>0</v>
      </c>
      <c r="H90" t="inlineStr">
        <is>
          <t>card</t>
        </is>
      </c>
      <c r="I90" t="n">
        <v>0</v>
      </c>
      <c r="J90" t="n">
        <v>0</v>
      </c>
      <c r="L90" t="n">
        <v>1</v>
      </c>
      <c r="R90" t="inlineStr">
        <is>
          <t>customer157@example.com</t>
        </is>
      </c>
      <c r="S90">
        <f>+919876589285</f>
        <v/>
      </c>
      <c r="T90" t="inlineStr">
        <is>
          <t>[]</t>
        </is>
      </c>
      <c r="U90" t="n">
        <v>29.98</v>
      </c>
      <c r="V90" t="n">
        <v>5.4</v>
      </c>
      <c r="Y90" s="1" t="n">
        <v>46159.17390046296</v>
      </c>
    </row>
    <row r="91">
      <c r="A91" t="inlineStr">
        <is>
          <t>pay_oUjqbyGs3fJoKW</t>
        </is>
      </c>
      <c r="B91" t="n">
        <v>1499</v>
      </c>
      <c r="C91" t="inlineStr">
        <is>
          <t>INR</t>
        </is>
      </c>
      <c r="D91" t="inlineStr">
        <is>
          <t>refunded</t>
        </is>
      </c>
      <c r="E91" t="inlineStr">
        <is>
          <t>order_hDkHFwmzmho2F3</t>
        </is>
      </c>
      <c r="G91" t="n">
        <v>0</v>
      </c>
      <c r="H91" t="inlineStr">
        <is>
          <t>upi</t>
        </is>
      </c>
      <c r="I91" t="n">
        <v>1499</v>
      </c>
      <c r="J91" t="n">
        <v>0</v>
      </c>
      <c r="K91" t="inlineStr">
        <is>
          <t>full</t>
        </is>
      </c>
      <c r="L91" t="n">
        <v>1</v>
      </c>
      <c r="R91" t="inlineStr">
        <is>
          <t>customer728@example.com</t>
        </is>
      </c>
      <c r="S91">
        <f>+919818340090</f>
        <v/>
      </c>
      <c r="T91" t="inlineStr">
        <is>
          <t>[]</t>
        </is>
      </c>
      <c r="U91" t="n">
        <v>29.98</v>
      </c>
      <c r="V91" t="n">
        <v>5.4</v>
      </c>
      <c r="Y91" s="1" t="n">
        <v>46156.13268518518</v>
      </c>
    </row>
    <row r="92">
      <c r="A92" t="inlineStr">
        <is>
          <t>pay_vimnu89XDEW4UN</t>
        </is>
      </c>
      <c r="B92" t="n">
        <v>499</v>
      </c>
      <c r="C92" t="inlineStr">
        <is>
          <t>INR</t>
        </is>
      </c>
      <c r="D92" t="inlineStr">
        <is>
          <t>captured</t>
        </is>
      </c>
      <c r="E92" t="inlineStr">
        <is>
          <t>order_ugnVksfVKlt5Wb</t>
        </is>
      </c>
      <c r="G92" t="n">
        <v>0</v>
      </c>
      <c r="H92" t="inlineStr">
        <is>
          <t>upi</t>
        </is>
      </c>
      <c r="I92" t="n">
        <v>0</v>
      </c>
      <c r="J92" t="n">
        <v>0</v>
      </c>
      <c r="L92" t="n">
        <v>1</v>
      </c>
      <c r="R92" t="inlineStr">
        <is>
          <t>customer204@example.com</t>
        </is>
      </c>
      <c r="S92">
        <f>+919893906966</f>
        <v/>
      </c>
      <c r="T92" t="inlineStr">
        <is>
          <t>[]</t>
        </is>
      </c>
      <c r="U92" t="n">
        <v>9.98</v>
      </c>
      <c r="V92" t="n">
        <v>1.8</v>
      </c>
      <c r="Y92" s="1" t="n">
        <v>46154.93219907407</v>
      </c>
    </row>
    <row r="93">
      <c r="A93" t="inlineStr">
        <is>
          <t>pay_7G6h8WpZomCoE4</t>
        </is>
      </c>
      <c r="B93" t="n">
        <v>2499</v>
      </c>
      <c r="C93" t="inlineStr">
        <is>
          <t>INR</t>
        </is>
      </c>
      <c r="D93" t="inlineStr">
        <is>
          <t>captured</t>
        </is>
      </c>
      <c r="E93" t="inlineStr">
        <is>
          <t>order_WfSvk7PUiZ64UZ</t>
        </is>
      </c>
      <c r="G93" t="n">
        <v>0</v>
      </c>
      <c r="H93" t="inlineStr">
        <is>
          <t>upi</t>
        </is>
      </c>
      <c r="I93" t="n">
        <v>0</v>
      </c>
      <c r="J93" t="n">
        <v>0</v>
      </c>
      <c r="L93" t="n">
        <v>1</v>
      </c>
      <c r="R93" t="inlineStr">
        <is>
          <t>customer702@example.com</t>
        </is>
      </c>
      <c r="S93">
        <f>+919816738097</f>
        <v/>
      </c>
      <c r="T93" t="inlineStr">
        <is>
          <t>[]</t>
        </is>
      </c>
      <c r="U93" t="n">
        <v>49.98</v>
      </c>
      <c r="V93" t="n">
        <v>9</v>
      </c>
      <c r="Y93" s="1" t="n">
        <v>46145.44931712963</v>
      </c>
    </row>
    <row r="94">
      <c r="A94" t="inlineStr">
        <is>
          <t>pay_LCunv0MsfqRBOY</t>
        </is>
      </c>
      <c r="B94" t="n">
        <v>1799</v>
      </c>
      <c r="C94" t="inlineStr">
        <is>
          <t>INR</t>
        </is>
      </c>
      <c r="D94" t="inlineStr">
        <is>
          <t>captured</t>
        </is>
      </c>
      <c r="E94" t="inlineStr">
        <is>
          <t>order_yMVvx6oPXP4Ass</t>
        </is>
      </c>
      <c r="G94" t="n">
        <v>0</v>
      </c>
      <c r="H94" t="inlineStr">
        <is>
          <t>upi</t>
        </is>
      </c>
      <c r="I94" t="n">
        <v>0</v>
      </c>
      <c r="J94" t="n">
        <v>0</v>
      </c>
      <c r="L94" t="n">
        <v>1</v>
      </c>
      <c r="R94" t="inlineStr">
        <is>
          <t>customer124@example.com</t>
        </is>
      </c>
      <c r="S94">
        <f>+919839034287</f>
        <v/>
      </c>
      <c r="T94" t="inlineStr">
        <is>
          <t>[]</t>
        </is>
      </c>
      <c r="U94" t="n">
        <v>35.98</v>
      </c>
      <c r="V94" t="n">
        <v>6.48</v>
      </c>
      <c r="Y94" s="1" t="n">
        <v>46162.0362037037</v>
      </c>
    </row>
    <row r="95">
      <c r="A95" t="inlineStr">
        <is>
          <t>pay_7wONxGP4Ew8dZQ</t>
        </is>
      </c>
      <c r="B95" t="n">
        <v>1499</v>
      </c>
      <c r="C95" t="inlineStr">
        <is>
          <t>INR</t>
        </is>
      </c>
      <c r="D95" t="inlineStr">
        <is>
          <t>captured</t>
        </is>
      </c>
      <c r="E95" t="inlineStr">
        <is>
          <t>order_a0gpJOTP9TUPiU</t>
        </is>
      </c>
      <c r="G95" t="n">
        <v>0</v>
      </c>
      <c r="H95" t="inlineStr">
        <is>
          <t>upi</t>
        </is>
      </c>
      <c r="I95" t="n">
        <v>0</v>
      </c>
      <c r="J95" t="n">
        <v>0</v>
      </c>
      <c r="L95" t="n">
        <v>1</v>
      </c>
      <c r="R95" t="inlineStr">
        <is>
          <t>customer571@example.com</t>
        </is>
      </c>
      <c r="S95">
        <f>+919860623390</f>
        <v/>
      </c>
      <c r="T95" t="inlineStr">
        <is>
          <t>[]</t>
        </is>
      </c>
      <c r="U95" t="n">
        <v>29.98</v>
      </c>
      <c r="V95" t="n">
        <v>5.4</v>
      </c>
      <c r="Y95" s="1" t="n">
        <v>46150.87885416667</v>
      </c>
    </row>
    <row r="96">
      <c r="A96" t="inlineStr">
        <is>
          <t>pay_HA8OXPx7SQrkJZ</t>
        </is>
      </c>
      <c r="B96" t="n">
        <v>999</v>
      </c>
      <c r="C96" t="inlineStr">
        <is>
          <t>INR</t>
        </is>
      </c>
      <c r="D96" t="inlineStr">
        <is>
          <t>captured</t>
        </is>
      </c>
      <c r="E96" t="inlineStr">
        <is>
          <t>order_FjLC6Da6ql4F9k</t>
        </is>
      </c>
      <c r="G96" t="n">
        <v>0</v>
      </c>
      <c r="H96" t="inlineStr">
        <is>
          <t>upi</t>
        </is>
      </c>
      <c r="I96" t="n">
        <v>0</v>
      </c>
      <c r="J96" t="n">
        <v>0</v>
      </c>
      <c r="L96" t="n">
        <v>1</v>
      </c>
      <c r="R96" t="inlineStr">
        <is>
          <t>customer813@example.com</t>
        </is>
      </c>
      <c r="S96">
        <f>+919881456308</f>
        <v/>
      </c>
      <c r="T96" t="inlineStr">
        <is>
          <t>[]</t>
        </is>
      </c>
      <c r="U96" t="n">
        <v>19.98</v>
      </c>
      <c r="V96" t="n">
        <v>3.6</v>
      </c>
      <c r="Y96" s="1" t="n">
        <v>46164.7383912037</v>
      </c>
    </row>
    <row r="97">
      <c r="A97" t="inlineStr">
        <is>
          <t>pay_QwtXDg5MFzj3cr</t>
        </is>
      </c>
      <c r="B97" t="n">
        <v>2499</v>
      </c>
      <c r="C97" t="inlineStr">
        <is>
          <t>INR</t>
        </is>
      </c>
      <c r="D97" t="inlineStr">
        <is>
          <t>captured</t>
        </is>
      </c>
      <c r="E97" t="inlineStr">
        <is>
          <t>order_mYdtGQ4K8WwQq3</t>
        </is>
      </c>
      <c r="G97" t="n">
        <v>0</v>
      </c>
      <c r="H97" t="inlineStr">
        <is>
          <t>upi</t>
        </is>
      </c>
      <c r="I97" t="n">
        <v>0</v>
      </c>
      <c r="J97" t="n">
        <v>0</v>
      </c>
      <c r="L97" t="n">
        <v>1</v>
      </c>
      <c r="R97" t="inlineStr">
        <is>
          <t>customer549@example.com</t>
        </is>
      </c>
      <c r="S97">
        <f>+919873111753</f>
        <v/>
      </c>
      <c r="T97" t="inlineStr">
        <is>
          <t>[]</t>
        </is>
      </c>
      <c r="U97" t="n">
        <v>49.98</v>
      </c>
      <c r="V97" t="n">
        <v>9</v>
      </c>
      <c r="Y97" s="1" t="n">
        <v>46159.86248842593</v>
      </c>
    </row>
    <row r="98">
      <c r="A98" t="inlineStr">
        <is>
          <t>pay_fLZZS5kkSUhz0W</t>
        </is>
      </c>
      <c r="B98" t="n">
        <v>2499</v>
      </c>
      <c r="C98" t="inlineStr">
        <is>
          <t>INR</t>
        </is>
      </c>
      <c r="D98" t="inlineStr">
        <is>
          <t>failed</t>
        </is>
      </c>
      <c r="E98" t="inlineStr">
        <is>
          <t>order_zeySyY0hBaGRsL</t>
        </is>
      </c>
      <c r="G98" t="n">
        <v>0</v>
      </c>
      <c r="H98" t="inlineStr">
        <is>
          <t>upi</t>
        </is>
      </c>
      <c r="I98" t="n">
        <v>0</v>
      </c>
      <c r="J98" t="n">
        <v>0</v>
      </c>
      <c r="L98" t="n">
        <v>0</v>
      </c>
      <c r="R98" t="inlineStr">
        <is>
          <t>customer860@example.com</t>
        </is>
      </c>
      <c r="S98">
        <f>+919855868184</f>
        <v/>
      </c>
      <c r="T98" t="inlineStr">
        <is>
          <t>[]</t>
        </is>
      </c>
      <c r="W98" t="inlineStr">
        <is>
          <t>BAD_REQUEST_ERROR</t>
        </is>
      </c>
      <c r="X98" t="inlineStr">
        <is>
          <t>UPI app declined the request</t>
        </is>
      </c>
      <c r="Y98" s="1" t="n">
        <v>46170.12541666667</v>
      </c>
    </row>
    <row r="99">
      <c r="A99" t="inlineStr">
        <is>
          <t>pay_PUF33UYO2iRRLr</t>
        </is>
      </c>
      <c r="B99" t="n">
        <v>1499</v>
      </c>
      <c r="C99" t="inlineStr">
        <is>
          <t>INR</t>
        </is>
      </c>
      <c r="D99" t="inlineStr">
        <is>
          <t>captured</t>
        </is>
      </c>
      <c r="E99" t="inlineStr">
        <is>
          <t>order_l2GGP3ivezF0PJ</t>
        </is>
      </c>
      <c r="G99" t="n">
        <v>0</v>
      </c>
      <c r="H99" t="inlineStr">
        <is>
          <t>card</t>
        </is>
      </c>
      <c r="I99" t="n">
        <v>0</v>
      </c>
      <c r="J99" t="n">
        <v>0</v>
      </c>
      <c r="L99" t="n">
        <v>1</v>
      </c>
      <c r="R99" t="inlineStr">
        <is>
          <t>customer69@example.com</t>
        </is>
      </c>
      <c r="S99">
        <f>+919890980645</f>
        <v/>
      </c>
      <c r="T99" t="inlineStr">
        <is>
          <t>[]</t>
        </is>
      </c>
      <c r="U99" t="n">
        <v>29.98</v>
      </c>
      <c r="V99" t="n">
        <v>5.4</v>
      </c>
      <c r="Y99" s="1" t="n">
        <v>46159.35342592592</v>
      </c>
    </row>
    <row r="100">
      <c r="A100" t="inlineStr">
        <is>
          <t>pay_KcHCDs67GoIYr8</t>
        </is>
      </c>
      <c r="B100" t="n">
        <v>2499</v>
      </c>
      <c r="C100" t="inlineStr">
        <is>
          <t>INR</t>
        </is>
      </c>
      <c r="D100" t="inlineStr">
        <is>
          <t>captured</t>
        </is>
      </c>
      <c r="E100" t="inlineStr">
        <is>
          <t>order_qnnfP8XwReZuaN</t>
        </is>
      </c>
      <c r="G100" t="n">
        <v>0</v>
      </c>
      <c r="H100" t="inlineStr">
        <is>
          <t>upi</t>
        </is>
      </c>
      <c r="I100" t="n">
        <v>0</v>
      </c>
      <c r="J100" t="n">
        <v>0</v>
      </c>
      <c r="L100" t="n">
        <v>1</v>
      </c>
      <c r="R100" t="inlineStr">
        <is>
          <t>customer592@example.com</t>
        </is>
      </c>
      <c r="S100">
        <f>+919882084240</f>
        <v/>
      </c>
      <c r="T100" t="inlineStr">
        <is>
          <t>[]</t>
        </is>
      </c>
      <c r="U100" t="n">
        <v>49.98</v>
      </c>
      <c r="V100" t="n">
        <v>9</v>
      </c>
      <c r="Y100" s="1" t="n">
        <v>46172.36798611111</v>
      </c>
    </row>
    <row r="101">
      <c r="A101" t="inlineStr">
        <is>
          <t>pay_mUZsWbTMavzZNU</t>
        </is>
      </c>
      <c r="B101" t="n">
        <v>1799</v>
      </c>
      <c r="C101" t="inlineStr">
        <is>
          <t>INR</t>
        </is>
      </c>
      <c r="D101" t="inlineStr">
        <is>
          <t>captured</t>
        </is>
      </c>
      <c r="E101" t="inlineStr">
        <is>
          <t>order_pNJA82MlMgkVe3</t>
        </is>
      </c>
      <c r="G101" t="n">
        <v>0</v>
      </c>
      <c r="H101" t="inlineStr">
        <is>
          <t>upi</t>
        </is>
      </c>
      <c r="I101" t="n">
        <v>0</v>
      </c>
      <c r="J101" t="n">
        <v>0</v>
      </c>
      <c r="L101" t="n">
        <v>1</v>
      </c>
      <c r="R101" t="inlineStr">
        <is>
          <t>customer551@example.com</t>
        </is>
      </c>
      <c r="S101">
        <f>+919845405472</f>
        <v/>
      </c>
      <c r="T101" t="inlineStr">
        <is>
          <t>[]</t>
        </is>
      </c>
      <c r="U101" t="n">
        <v>35.98</v>
      </c>
      <c r="V101" t="n">
        <v>6.48</v>
      </c>
      <c r="Y101" s="1" t="n">
        <v>46158.99456018519</v>
      </c>
    </row>
    <row r="102">
      <c r="A102" t="inlineStr">
        <is>
          <t>pay_DYhgIFmpb4S68B</t>
        </is>
      </c>
      <c r="B102" t="n">
        <v>1499</v>
      </c>
      <c r="C102" t="inlineStr">
        <is>
          <t>INR</t>
        </is>
      </c>
      <c r="D102" t="inlineStr">
        <is>
          <t>captured</t>
        </is>
      </c>
      <c r="E102" t="inlineStr">
        <is>
          <t>order_kN9sckw3XCggjW</t>
        </is>
      </c>
      <c r="G102" t="n">
        <v>0</v>
      </c>
      <c r="H102" t="inlineStr">
        <is>
          <t>upi</t>
        </is>
      </c>
      <c r="I102" t="n">
        <v>0</v>
      </c>
      <c r="J102" t="n">
        <v>0</v>
      </c>
      <c r="L102" t="n">
        <v>1</v>
      </c>
      <c r="R102" t="inlineStr">
        <is>
          <t>customer750@example.com</t>
        </is>
      </c>
      <c r="S102">
        <f>+919861559957</f>
        <v/>
      </c>
      <c r="T102" t="inlineStr">
        <is>
          <t>[]</t>
        </is>
      </c>
      <c r="U102" t="n">
        <v>29.98</v>
      </c>
      <c r="V102" t="n">
        <v>5.4</v>
      </c>
      <c r="Y102" s="1" t="n">
        <v>46170.08046296296</v>
      </c>
    </row>
    <row r="103">
      <c r="A103" t="inlineStr">
        <is>
          <t>pay_Nmp4xgKhmCKNRB</t>
        </is>
      </c>
      <c r="B103" t="n">
        <v>2499</v>
      </c>
      <c r="C103" t="inlineStr">
        <is>
          <t>INR</t>
        </is>
      </c>
      <c r="D103" t="inlineStr">
        <is>
          <t>captured</t>
        </is>
      </c>
      <c r="E103" t="inlineStr">
        <is>
          <t>order_0ianKxaZWCc3He</t>
        </is>
      </c>
      <c r="G103" t="n">
        <v>0</v>
      </c>
      <c r="H103" t="inlineStr">
        <is>
          <t>upi</t>
        </is>
      </c>
      <c r="I103" t="n">
        <v>0</v>
      </c>
      <c r="J103" t="n">
        <v>0</v>
      </c>
      <c r="L103" t="n">
        <v>1</v>
      </c>
      <c r="R103" t="inlineStr">
        <is>
          <t>customer70@example.com</t>
        </is>
      </c>
      <c r="S103">
        <f>+919886525611</f>
        <v/>
      </c>
      <c r="T103" t="inlineStr">
        <is>
          <t>[]</t>
        </is>
      </c>
      <c r="U103" t="n">
        <v>49.98</v>
      </c>
      <c r="V103" t="n">
        <v>9</v>
      </c>
      <c r="Y103" s="1" t="n">
        <v>46150.81928240741</v>
      </c>
    </row>
    <row r="104">
      <c r="A104" t="inlineStr">
        <is>
          <t>pay_Tcf8Xcdo5nP5N4</t>
        </is>
      </c>
      <c r="B104" t="n">
        <v>2499</v>
      </c>
      <c r="C104" t="inlineStr">
        <is>
          <t>INR</t>
        </is>
      </c>
      <c r="D104" t="inlineStr">
        <is>
          <t>captured</t>
        </is>
      </c>
      <c r="E104" t="inlineStr">
        <is>
          <t>order_kO19SD2LhExRX3</t>
        </is>
      </c>
      <c r="G104" t="n">
        <v>0</v>
      </c>
      <c r="H104" t="inlineStr">
        <is>
          <t>card</t>
        </is>
      </c>
      <c r="I104" t="n">
        <v>0</v>
      </c>
      <c r="J104" t="n">
        <v>0</v>
      </c>
      <c r="L104" t="n">
        <v>1</v>
      </c>
      <c r="R104" t="inlineStr">
        <is>
          <t>customer270@example.com</t>
        </is>
      </c>
      <c r="S104">
        <f>+919815546318</f>
        <v/>
      </c>
      <c r="T104" t="inlineStr">
        <is>
          <t>[]</t>
        </is>
      </c>
      <c r="U104" t="n">
        <v>49.98</v>
      </c>
      <c r="V104" t="n">
        <v>9</v>
      </c>
      <c r="Y104" s="1" t="n">
        <v>46145.61300925926</v>
      </c>
    </row>
    <row r="105">
      <c r="A105" t="inlineStr">
        <is>
          <t>pay_LXHRPMCPImlFZm</t>
        </is>
      </c>
      <c r="B105" t="n">
        <v>1499</v>
      </c>
      <c r="C105" t="inlineStr">
        <is>
          <t>INR</t>
        </is>
      </c>
      <c r="D105" t="inlineStr">
        <is>
          <t>captured</t>
        </is>
      </c>
      <c r="E105" t="inlineStr">
        <is>
          <t>order_D7V2fiGMuF7x2e</t>
        </is>
      </c>
      <c r="G105" t="n">
        <v>0</v>
      </c>
      <c r="H105" t="inlineStr">
        <is>
          <t>card</t>
        </is>
      </c>
      <c r="I105" t="n">
        <v>0</v>
      </c>
      <c r="J105" t="n">
        <v>0</v>
      </c>
      <c r="L105" t="n">
        <v>1</v>
      </c>
      <c r="R105" t="inlineStr">
        <is>
          <t>customer726@example.com</t>
        </is>
      </c>
      <c r="S105">
        <f>+919897249342</f>
        <v/>
      </c>
      <c r="T105" t="inlineStr">
        <is>
          <t>[]</t>
        </is>
      </c>
      <c r="U105" t="n">
        <v>29.98</v>
      </c>
      <c r="V105" t="n">
        <v>5.4</v>
      </c>
      <c r="Y105" s="1" t="n">
        <v>46150.45361111111</v>
      </c>
    </row>
    <row r="106">
      <c r="A106" t="inlineStr">
        <is>
          <t>pay_dMspiW0bxkk6OD</t>
        </is>
      </c>
      <c r="B106" t="n">
        <v>499</v>
      </c>
      <c r="C106" t="inlineStr">
        <is>
          <t>INR</t>
        </is>
      </c>
      <c r="D106" t="inlineStr">
        <is>
          <t>failed</t>
        </is>
      </c>
      <c r="E106" t="inlineStr">
        <is>
          <t>order_ehQLGCzLO4TX4Z</t>
        </is>
      </c>
      <c r="G106" t="n">
        <v>0</v>
      </c>
      <c r="H106" t="inlineStr">
        <is>
          <t>upi</t>
        </is>
      </c>
      <c r="I106" t="n">
        <v>0</v>
      </c>
      <c r="J106" t="n">
        <v>0</v>
      </c>
      <c r="L106" t="n">
        <v>0</v>
      </c>
      <c r="R106" t="inlineStr">
        <is>
          <t>customer639@example.com</t>
        </is>
      </c>
      <c r="S106">
        <f>+919853750181</f>
        <v/>
      </c>
      <c r="T106" t="inlineStr">
        <is>
          <t>[]</t>
        </is>
      </c>
      <c r="W106" t="inlineStr">
        <is>
          <t>BAD_REQUEST_ERROR</t>
        </is>
      </c>
      <c r="X106" t="inlineStr">
        <is>
          <t>UPI app declined the request</t>
        </is>
      </c>
      <c r="Y106" s="1" t="n">
        <v>46152.32736111111</v>
      </c>
    </row>
    <row r="107">
      <c r="A107" t="inlineStr">
        <is>
          <t>pay_GOH6z4Q7fnr4aq</t>
        </is>
      </c>
      <c r="B107" t="n">
        <v>1499</v>
      </c>
      <c r="C107" t="inlineStr">
        <is>
          <t>INR</t>
        </is>
      </c>
      <c r="D107" t="inlineStr">
        <is>
          <t>captured</t>
        </is>
      </c>
      <c r="E107" t="inlineStr">
        <is>
          <t>order_bo25uVW3XGgZtM</t>
        </is>
      </c>
      <c r="G107" t="n">
        <v>0</v>
      </c>
      <c r="H107" t="inlineStr">
        <is>
          <t>upi</t>
        </is>
      </c>
      <c r="I107" t="n">
        <v>0</v>
      </c>
      <c r="J107" t="n">
        <v>0</v>
      </c>
      <c r="L107" t="n">
        <v>1</v>
      </c>
      <c r="R107" t="inlineStr">
        <is>
          <t>customer733@example.com</t>
        </is>
      </c>
      <c r="S107">
        <f>+919825882041</f>
        <v/>
      </c>
      <c r="T107" t="inlineStr">
        <is>
          <t>[]</t>
        </is>
      </c>
      <c r="U107" t="n">
        <v>29.98</v>
      </c>
      <c r="V107" t="n">
        <v>5.4</v>
      </c>
      <c r="Y107" s="1" t="n">
        <v>46143.64452546297</v>
      </c>
    </row>
    <row r="108">
      <c r="A108" t="inlineStr">
        <is>
          <t>pay_THeeISOF25B3py</t>
        </is>
      </c>
      <c r="B108" t="n">
        <v>1799</v>
      </c>
      <c r="C108" t="inlineStr">
        <is>
          <t>INR</t>
        </is>
      </c>
      <c r="D108" t="inlineStr">
        <is>
          <t>captured</t>
        </is>
      </c>
      <c r="E108" t="inlineStr">
        <is>
          <t>order_Mk6ryv7f1NMOTi</t>
        </is>
      </c>
      <c r="G108" t="n">
        <v>0</v>
      </c>
      <c r="H108" t="inlineStr">
        <is>
          <t>card</t>
        </is>
      </c>
      <c r="I108" t="n">
        <v>0</v>
      </c>
      <c r="J108" t="n">
        <v>0</v>
      </c>
      <c r="L108" t="n">
        <v>1</v>
      </c>
      <c r="R108" t="inlineStr">
        <is>
          <t>customer714@example.com</t>
        </is>
      </c>
      <c r="S108">
        <f>+919833248966</f>
        <v/>
      </c>
      <c r="T108" t="inlineStr">
        <is>
          <t>[]</t>
        </is>
      </c>
      <c r="U108" t="n">
        <v>35.98</v>
      </c>
      <c r="V108" t="n">
        <v>6.48</v>
      </c>
      <c r="Y108" s="1" t="n">
        <v>46151.5612962963</v>
      </c>
    </row>
    <row r="109">
      <c r="A109" t="inlineStr">
        <is>
          <t>pay_lig8xOJnea0i7w</t>
        </is>
      </c>
      <c r="B109" t="n">
        <v>3999</v>
      </c>
      <c r="C109" t="inlineStr">
        <is>
          <t>INR</t>
        </is>
      </c>
      <c r="D109" t="inlineStr">
        <is>
          <t>failed</t>
        </is>
      </c>
      <c r="E109" t="inlineStr">
        <is>
          <t>order_21CumyWgmvuM0e</t>
        </is>
      </c>
      <c r="G109" t="n">
        <v>0</v>
      </c>
      <c r="H109" t="inlineStr">
        <is>
          <t>card</t>
        </is>
      </c>
      <c r="I109" t="n">
        <v>0</v>
      </c>
      <c r="J109" t="n">
        <v>0</v>
      </c>
      <c r="L109" t="n">
        <v>0</v>
      </c>
      <c r="R109" t="inlineStr">
        <is>
          <t>customer740@example.com</t>
        </is>
      </c>
      <c r="S109">
        <f>+919833666390</f>
        <v/>
      </c>
      <c r="T109" t="inlineStr">
        <is>
          <t>[]</t>
        </is>
      </c>
      <c r="W109" t="inlineStr">
        <is>
          <t>BAD_REQUEST_ERROR</t>
        </is>
      </c>
      <c r="X109" t="inlineStr">
        <is>
          <t>Card declined by bank</t>
        </is>
      </c>
      <c r="Y109" s="1" t="n">
        <v>46164.60302083333</v>
      </c>
    </row>
    <row r="110">
      <c r="A110" t="inlineStr">
        <is>
          <t>pay_udFEnL95xdAdGF</t>
        </is>
      </c>
      <c r="B110" t="n">
        <v>499</v>
      </c>
      <c r="C110" t="inlineStr">
        <is>
          <t>INR</t>
        </is>
      </c>
      <c r="D110" t="inlineStr">
        <is>
          <t>captured</t>
        </is>
      </c>
      <c r="E110" t="inlineStr">
        <is>
          <t>order_xwrDEgIEzE54Ad</t>
        </is>
      </c>
      <c r="G110" t="n">
        <v>0</v>
      </c>
      <c r="H110" t="inlineStr">
        <is>
          <t>upi</t>
        </is>
      </c>
      <c r="I110" t="n">
        <v>0</v>
      </c>
      <c r="J110" t="n">
        <v>0</v>
      </c>
      <c r="L110" t="n">
        <v>1</v>
      </c>
      <c r="R110" t="inlineStr">
        <is>
          <t>customer324@example.com</t>
        </is>
      </c>
      <c r="S110">
        <f>+919838505763</f>
        <v/>
      </c>
      <c r="T110" t="inlineStr">
        <is>
          <t>[]</t>
        </is>
      </c>
      <c r="U110" t="n">
        <v>9.98</v>
      </c>
      <c r="V110" t="n">
        <v>1.8</v>
      </c>
      <c r="Y110" s="1" t="n">
        <v>46145.46072916667</v>
      </c>
    </row>
    <row r="111">
      <c r="A111" t="inlineStr">
        <is>
          <t>pay_QbOVPiwy2tc1OO</t>
        </is>
      </c>
      <c r="B111" t="n">
        <v>499</v>
      </c>
      <c r="C111" t="inlineStr">
        <is>
          <t>INR</t>
        </is>
      </c>
      <c r="D111" t="inlineStr">
        <is>
          <t>captured</t>
        </is>
      </c>
      <c r="E111" t="inlineStr">
        <is>
          <t>order_q5CTeCtmPwh9Dl</t>
        </is>
      </c>
      <c r="G111" t="n">
        <v>0</v>
      </c>
      <c r="H111" t="inlineStr">
        <is>
          <t>card</t>
        </is>
      </c>
      <c r="I111" t="n">
        <v>0</v>
      </c>
      <c r="J111" t="n">
        <v>0</v>
      </c>
      <c r="L111" t="n">
        <v>1</v>
      </c>
      <c r="R111" t="inlineStr">
        <is>
          <t>customer717@example.com</t>
        </is>
      </c>
      <c r="S111">
        <f>+919840452623</f>
        <v/>
      </c>
      <c r="T111" t="inlineStr">
        <is>
          <t>[]</t>
        </is>
      </c>
      <c r="U111" t="n">
        <v>9.98</v>
      </c>
      <c r="V111" t="n">
        <v>1.8</v>
      </c>
      <c r="Y111" s="1" t="n">
        <v>46147.92783564814</v>
      </c>
    </row>
    <row r="112">
      <c r="A112" t="inlineStr">
        <is>
          <t>pay_n4lDtWq8UblzRJ</t>
        </is>
      </c>
      <c r="B112" t="n">
        <v>1799</v>
      </c>
      <c r="C112" t="inlineStr">
        <is>
          <t>INR</t>
        </is>
      </c>
      <c r="D112" t="inlineStr">
        <is>
          <t>captured</t>
        </is>
      </c>
      <c r="E112" t="inlineStr">
        <is>
          <t>order_3fncBilUK6yQa6</t>
        </is>
      </c>
      <c r="G112" t="n">
        <v>0</v>
      </c>
      <c r="H112" t="inlineStr">
        <is>
          <t>upi</t>
        </is>
      </c>
      <c r="I112" t="n">
        <v>0</v>
      </c>
      <c r="J112" t="n">
        <v>0</v>
      </c>
      <c r="L112" t="n">
        <v>1</v>
      </c>
      <c r="R112" t="inlineStr">
        <is>
          <t>customer789@example.com</t>
        </is>
      </c>
      <c r="S112">
        <f>+919831753608</f>
        <v/>
      </c>
      <c r="T112" t="inlineStr">
        <is>
          <t>[]</t>
        </is>
      </c>
      <c r="U112" t="n">
        <v>35.98</v>
      </c>
      <c r="V112" t="n">
        <v>6.48</v>
      </c>
      <c r="Y112" s="1" t="n">
        <v>46143.76594907408</v>
      </c>
    </row>
    <row r="113">
      <c r="A113" t="inlineStr">
        <is>
          <t>pay_Cz3P17q6zd4gbr</t>
        </is>
      </c>
      <c r="B113" t="n">
        <v>2499</v>
      </c>
      <c r="C113" t="inlineStr">
        <is>
          <t>INR</t>
        </is>
      </c>
      <c r="D113" t="inlineStr">
        <is>
          <t>captured</t>
        </is>
      </c>
      <c r="E113" t="inlineStr">
        <is>
          <t>order_aLpCISioh7jiGK</t>
        </is>
      </c>
      <c r="G113" t="n">
        <v>0</v>
      </c>
      <c r="H113" t="inlineStr">
        <is>
          <t>upi</t>
        </is>
      </c>
      <c r="I113" t="n">
        <v>0</v>
      </c>
      <c r="J113" t="n">
        <v>0</v>
      </c>
      <c r="L113" t="n">
        <v>1</v>
      </c>
      <c r="R113" t="inlineStr">
        <is>
          <t>customer296@example.com</t>
        </is>
      </c>
      <c r="S113">
        <f>+919833511548</f>
        <v/>
      </c>
      <c r="T113" t="inlineStr">
        <is>
          <t>[]</t>
        </is>
      </c>
      <c r="U113" t="n">
        <v>49.98</v>
      </c>
      <c r="V113" t="n">
        <v>9</v>
      </c>
      <c r="Y113" s="1" t="n">
        <v>46154.57594907407</v>
      </c>
    </row>
    <row r="114">
      <c r="A114" t="inlineStr">
        <is>
          <t>pay_z7pYRdQnu5BvV7</t>
        </is>
      </c>
      <c r="B114" t="n">
        <v>1499</v>
      </c>
      <c r="C114" t="inlineStr">
        <is>
          <t>INR</t>
        </is>
      </c>
      <c r="D114" t="inlineStr">
        <is>
          <t>refunded</t>
        </is>
      </c>
      <c r="E114" t="inlineStr">
        <is>
          <t>order_G0YOFhpOKX37le</t>
        </is>
      </c>
      <c r="G114" t="n">
        <v>0</v>
      </c>
      <c r="H114" t="inlineStr">
        <is>
          <t>upi</t>
        </is>
      </c>
      <c r="I114" t="n">
        <v>1499</v>
      </c>
      <c r="J114" t="n">
        <v>0</v>
      </c>
      <c r="K114" t="inlineStr">
        <is>
          <t>full</t>
        </is>
      </c>
      <c r="L114" t="n">
        <v>1</v>
      </c>
      <c r="R114" t="inlineStr">
        <is>
          <t>customer185@example.com</t>
        </is>
      </c>
      <c r="S114">
        <f>+919872478985</f>
        <v/>
      </c>
      <c r="T114" t="inlineStr">
        <is>
          <t>[]</t>
        </is>
      </c>
      <c r="U114" t="n">
        <v>29.98</v>
      </c>
      <c r="V114" t="n">
        <v>5.4</v>
      </c>
      <c r="Y114" s="1" t="n">
        <v>46149.72053240741</v>
      </c>
    </row>
    <row r="115">
      <c r="A115" t="inlineStr">
        <is>
          <t>pay_NNR7mVspYL02Km</t>
        </is>
      </c>
      <c r="B115" t="n">
        <v>499</v>
      </c>
      <c r="C115" t="inlineStr">
        <is>
          <t>INR</t>
        </is>
      </c>
      <c r="D115" t="inlineStr">
        <is>
          <t>failed</t>
        </is>
      </c>
      <c r="E115" t="inlineStr">
        <is>
          <t>order_izAeK6JwRBkDbP</t>
        </is>
      </c>
      <c r="G115" t="n">
        <v>0</v>
      </c>
      <c r="H115" t="inlineStr">
        <is>
          <t>upi</t>
        </is>
      </c>
      <c r="I115" t="n">
        <v>0</v>
      </c>
      <c r="J115" t="n">
        <v>0</v>
      </c>
      <c r="L115" t="n">
        <v>0</v>
      </c>
      <c r="R115" t="inlineStr">
        <is>
          <t>customer16@example.com</t>
        </is>
      </c>
      <c r="S115">
        <f>+919889928629</f>
        <v/>
      </c>
      <c r="T115" t="inlineStr">
        <is>
          <t>[]</t>
        </is>
      </c>
      <c r="W115" t="inlineStr">
        <is>
          <t>BAD_REQUEST_ERROR</t>
        </is>
      </c>
      <c r="X115" t="inlineStr">
        <is>
          <t>UPI app declined the request</t>
        </is>
      </c>
      <c r="Y115" s="1" t="n">
        <v>46148.49400462963</v>
      </c>
    </row>
    <row r="116">
      <c r="A116" t="inlineStr">
        <is>
          <t>pay_2u5qqdd8i1uFiL</t>
        </is>
      </c>
      <c r="B116" t="n">
        <v>499</v>
      </c>
      <c r="C116" t="inlineStr">
        <is>
          <t>INR</t>
        </is>
      </c>
      <c r="D116" t="inlineStr">
        <is>
          <t>captured</t>
        </is>
      </c>
      <c r="E116" t="inlineStr">
        <is>
          <t>order_XZfpkk3WobffmD</t>
        </is>
      </c>
      <c r="G116" t="n">
        <v>0</v>
      </c>
      <c r="H116" t="inlineStr">
        <is>
          <t>upi</t>
        </is>
      </c>
      <c r="I116" t="n">
        <v>0</v>
      </c>
      <c r="J116" t="n">
        <v>0</v>
      </c>
      <c r="L116" t="n">
        <v>1</v>
      </c>
      <c r="R116" t="inlineStr">
        <is>
          <t>customer574@example.com</t>
        </is>
      </c>
      <c r="S116">
        <f>+919816878692</f>
        <v/>
      </c>
      <c r="T116" t="inlineStr">
        <is>
          <t>[]</t>
        </is>
      </c>
      <c r="U116" t="n">
        <v>9.98</v>
      </c>
      <c r="V116" t="n">
        <v>1.8</v>
      </c>
      <c r="Y116" s="1" t="n">
        <v>46156.23072916667</v>
      </c>
    </row>
    <row r="117">
      <c r="A117" t="inlineStr">
        <is>
          <t>pay_n0CUFGudobFnSC</t>
        </is>
      </c>
      <c r="B117" t="n">
        <v>2499</v>
      </c>
      <c r="C117" t="inlineStr">
        <is>
          <t>INR</t>
        </is>
      </c>
      <c r="D117" t="inlineStr">
        <is>
          <t>failed</t>
        </is>
      </c>
      <c r="E117" t="inlineStr">
        <is>
          <t>order_AsbteDejXCDYMZ</t>
        </is>
      </c>
      <c r="G117" t="n">
        <v>0</v>
      </c>
      <c r="H117" t="inlineStr">
        <is>
          <t>upi</t>
        </is>
      </c>
      <c r="I117" t="n">
        <v>0</v>
      </c>
      <c r="J117" t="n">
        <v>0</v>
      </c>
      <c r="L117" t="n">
        <v>0</v>
      </c>
      <c r="R117" t="inlineStr">
        <is>
          <t>customer197@example.com</t>
        </is>
      </c>
      <c r="S117">
        <f>+919834688624</f>
        <v/>
      </c>
      <c r="T117" t="inlineStr">
        <is>
          <t>[]</t>
        </is>
      </c>
      <c r="W117" t="inlineStr">
        <is>
          <t>BAD_REQUEST_ERROR</t>
        </is>
      </c>
      <c r="X117" t="inlineStr">
        <is>
          <t>Payment was not completed on time</t>
        </is>
      </c>
      <c r="Y117" s="1" t="n">
        <v>46150.47464120371</v>
      </c>
    </row>
    <row r="118">
      <c r="A118" t="inlineStr">
        <is>
          <t>pay_mhFGwSGWgexDpP</t>
        </is>
      </c>
      <c r="B118" t="n">
        <v>999</v>
      </c>
      <c r="C118" t="inlineStr">
        <is>
          <t>INR</t>
        </is>
      </c>
      <c r="D118" t="inlineStr">
        <is>
          <t>captured</t>
        </is>
      </c>
      <c r="E118" t="inlineStr">
        <is>
          <t>order_dCvRQRXyGsWtsu</t>
        </is>
      </c>
      <c r="G118" t="n">
        <v>0</v>
      </c>
      <c r="H118" t="inlineStr">
        <is>
          <t>netbanking</t>
        </is>
      </c>
      <c r="I118" t="n">
        <v>0</v>
      </c>
      <c r="J118" t="n">
        <v>0</v>
      </c>
      <c r="L118" t="n">
        <v>1</v>
      </c>
      <c r="R118" t="inlineStr">
        <is>
          <t>customer228@example.com</t>
        </is>
      </c>
      <c r="S118">
        <f>+919870347845</f>
        <v/>
      </c>
      <c r="T118" t="inlineStr">
        <is>
          <t>[]</t>
        </is>
      </c>
      <c r="U118" t="n">
        <v>19.98</v>
      </c>
      <c r="V118" t="n">
        <v>3.6</v>
      </c>
      <c r="Y118" s="1" t="n">
        <v>46155.66306712963</v>
      </c>
    </row>
    <row r="119">
      <c r="A119" t="inlineStr">
        <is>
          <t>pay_eUVBfyf7drVige</t>
        </is>
      </c>
      <c r="B119" t="n">
        <v>2499</v>
      </c>
      <c r="C119" t="inlineStr">
        <is>
          <t>INR</t>
        </is>
      </c>
      <c r="D119" t="inlineStr">
        <is>
          <t>captured</t>
        </is>
      </c>
      <c r="E119" t="inlineStr">
        <is>
          <t>order_6zRHWStdVf5i16</t>
        </is>
      </c>
      <c r="G119" t="n">
        <v>0</v>
      </c>
      <c r="H119" t="inlineStr">
        <is>
          <t>upi</t>
        </is>
      </c>
      <c r="I119" t="n">
        <v>0</v>
      </c>
      <c r="J119" t="n">
        <v>0</v>
      </c>
      <c r="L119" t="n">
        <v>1</v>
      </c>
      <c r="R119" t="inlineStr">
        <is>
          <t>customer168@example.com</t>
        </is>
      </c>
      <c r="S119">
        <f>+919881384435</f>
        <v/>
      </c>
      <c r="T119" t="inlineStr">
        <is>
          <t>[]</t>
        </is>
      </c>
      <c r="U119" t="n">
        <v>49.98</v>
      </c>
      <c r="V119" t="n">
        <v>9</v>
      </c>
      <c r="Y119" s="1" t="n">
        <v>46158.44967592593</v>
      </c>
    </row>
    <row r="120">
      <c r="A120" t="inlineStr">
        <is>
          <t>pay_mWU4E1FXbFYR8M</t>
        </is>
      </c>
      <c r="B120" t="n">
        <v>2499</v>
      </c>
      <c r="C120" t="inlineStr">
        <is>
          <t>INR</t>
        </is>
      </c>
      <c r="D120" t="inlineStr">
        <is>
          <t>captured</t>
        </is>
      </c>
      <c r="E120" t="inlineStr">
        <is>
          <t>order_kkVAuhp8hqT34D</t>
        </is>
      </c>
      <c r="G120" t="n">
        <v>0</v>
      </c>
      <c r="H120" t="inlineStr">
        <is>
          <t>upi</t>
        </is>
      </c>
      <c r="I120" t="n">
        <v>0</v>
      </c>
      <c r="J120" t="n">
        <v>0</v>
      </c>
      <c r="L120" t="n">
        <v>1</v>
      </c>
      <c r="R120" t="inlineStr">
        <is>
          <t>customer321@example.com</t>
        </is>
      </c>
      <c r="S120">
        <f>+919833194248</f>
        <v/>
      </c>
      <c r="T120" t="inlineStr">
        <is>
          <t>[]</t>
        </is>
      </c>
      <c r="U120" t="n">
        <v>49.98</v>
      </c>
      <c r="V120" t="n">
        <v>9</v>
      </c>
      <c r="Y120" s="1" t="n">
        <v>46172.31081018518</v>
      </c>
    </row>
    <row r="121">
      <c r="A121" t="inlineStr">
        <is>
          <t>pay_6aPUVJ4YNd3kjt</t>
        </is>
      </c>
      <c r="B121" t="n">
        <v>1799</v>
      </c>
      <c r="C121" t="inlineStr">
        <is>
          <t>INR</t>
        </is>
      </c>
      <c r="D121" t="inlineStr">
        <is>
          <t>refunded</t>
        </is>
      </c>
      <c r="E121" t="inlineStr">
        <is>
          <t>order_OdaovWpcc9ot26</t>
        </is>
      </c>
      <c r="G121" t="n">
        <v>0</v>
      </c>
      <c r="H121" t="inlineStr">
        <is>
          <t>upi</t>
        </is>
      </c>
      <c r="I121" t="n">
        <v>1799</v>
      </c>
      <c r="J121" t="n">
        <v>0</v>
      </c>
      <c r="K121" t="inlineStr">
        <is>
          <t>full</t>
        </is>
      </c>
      <c r="L121" t="n">
        <v>1</v>
      </c>
      <c r="R121" t="inlineStr">
        <is>
          <t>customer517@example.com</t>
        </is>
      </c>
      <c r="S121">
        <f>+919898037738</f>
        <v/>
      </c>
      <c r="T121" t="inlineStr">
        <is>
          <t>[]</t>
        </is>
      </c>
      <c r="U121" t="n">
        <v>35.98</v>
      </c>
      <c r="V121" t="n">
        <v>6.48</v>
      </c>
      <c r="Y121" s="1" t="n">
        <v>46159.58771990741</v>
      </c>
    </row>
    <row r="122">
      <c r="A122" t="inlineStr">
        <is>
          <t>pay_Pmww7Rh4cKASAf</t>
        </is>
      </c>
      <c r="B122" t="n">
        <v>2499</v>
      </c>
      <c r="C122" t="inlineStr">
        <is>
          <t>INR</t>
        </is>
      </c>
      <c r="D122" t="inlineStr">
        <is>
          <t>failed</t>
        </is>
      </c>
      <c r="E122" t="inlineStr">
        <is>
          <t>order_NtDxN2Jtv0Tv4L</t>
        </is>
      </c>
      <c r="G122" t="n">
        <v>0</v>
      </c>
      <c r="H122" t="inlineStr">
        <is>
          <t>upi</t>
        </is>
      </c>
      <c r="I122" t="n">
        <v>0</v>
      </c>
      <c r="J122" t="n">
        <v>0</v>
      </c>
      <c r="L122" t="n">
        <v>0</v>
      </c>
      <c r="R122" t="inlineStr">
        <is>
          <t>customer537@example.com</t>
        </is>
      </c>
      <c r="S122">
        <f>+919849056562</f>
        <v/>
      </c>
      <c r="T122" t="inlineStr">
        <is>
          <t>[]</t>
        </is>
      </c>
      <c r="W122" t="inlineStr">
        <is>
          <t>BAD_REQUEST_ERROR</t>
        </is>
      </c>
      <c r="X122" t="inlineStr">
        <is>
          <t>UPI app declined the request</t>
        </is>
      </c>
      <c r="Y122" s="1" t="n">
        <v>46152.63368055555</v>
      </c>
    </row>
    <row r="123">
      <c r="A123" t="inlineStr">
        <is>
          <t>pay_29AxS5msuTlHFP</t>
        </is>
      </c>
      <c r="B123" t="n">
        <v>2499</v>
      </c>
      <c r="C123" t="inlineStr">
        <is>
          <t>INR</t>
        </is>
      </c>
      <c r="D123" t="inlineStr">
        <is>
          <t>captured</t>
        </is>
      </c>
      <c r="E123" t="inlineStr">
        <is>
          <t>order_NtDxN2Jtv0Tv4L</t>
        </is>
      </c>
      <c r="G123" t="n">
        <v>0</v>
      </c>
      <c r="H123" t="inlineStr">
        <is>
          <t>upi</t>
        </is>
      </c>
      <c r="I123" t="n">
        <v>0</v>
      </c>
      <c r="J123" t="n">
        <v>0</v>
      </c>
      <c r="L123" t="n">
        <v>1</v>
      </c>
      <c r="R123" t="inlineStr">
        <is>
          <t>customer147@example.com</t>
        </is>
      </c>
      <c r="S123">
        <f>+919891183385</f>
        <v/>
      </c>
      <c r="T123" t="inlineStr">
        <is>
          <t>[]</t>
        </is>
      </c>
      <c r="U123" t="n">
        <v>49.98</v>
      </c>
      <c r="V123" t="n">
        <v>9</v>
      </c>
      <c r="Y123" s="1" t="n">
        <v>46152.63459490741</v>
      </c>
    </row>
    <row r="124">
      <c r="A124" t="inlineStr">
        <is>
          <t>pay_jBbiQLonMdVX4k</t>
        </is>
      </c>
      <c r="B124" t="n">
        <v>3999</v>
      </c>
      <c r="C124" t="inlineStr">
        <is>
          <t>INR</t>
        </is>
      </c>
      <c r="D124" t="inlineStr">
        <is>
          <t>captured</t>
        </is>
      </c>
      <c r="E124" t="inlineStr">
        <is>
          <t>order_IXl4IV1w5mbF33</t>
        </is>
      </c>
      <c r="G124" t="n">
        <v>0</v>
      </c>
      <c r="H124" t="inlineStr">
        <is>
          <t>netbanking</t>
        </is>
      </c>
      <c r="I124" t="n">
        <v>0</v>
      </c>
      <c r="J124" t="n">
        <v>0</v>
      </c>
      <c r="L124" t="n">
        <v>1</v>
      </c>
      <c r="R124" t="inlineStr">
        <is>
          <t>customer802@example.com</t>
        </is>
      </c>
      <c r="S124">
        <f>+919841816774</f>
        <v/>
      </c>
      <c r="T124" t="inlineStr">
        <is>
          <t>[]</t>
        </is>
      </c>
      <c r="U124" t="n">
        <v>79.98</v>
      </c>
      <c r="V124" t="n">
        <v>14.4</v>
      </c>
      <c r="Y124" s="1" t="n">
        <v>46161.35668981481</v>
      </c>
    </row>
    <row r="125">
      <c r="A125" t="inlineStr">
        <is>
          <t>pay_IztknHzS9o1wBt</t>
        </is>
      </c>
      <c r="B125" t="n">
        <v>999</v>
      </c>
      <c r="C125" t="inlineStr">
        <is>
          <t>INR</t>
        </is>
      </c>
      <c r="D125" t="inlineStr">
        <is>
          <t>failed</t>
        </is>
      </c>
      <c r="E125" t="inlineStr">
        <is>
          <t>order_GkL4mKSUSSqZ5d</t>
        </is>
      </c>
      <c r="G125" t="n">
        <v>0</v>
      </c>
      <c r="H125" t="inlineStr">
        <is>
          <t>upi</t>
        </is>
      </c>
      <c r="I125" t="n">
        <v>0</v>
      </c>
      <c r="J125" t="n">
        <v>0</v>
      </c>
      <c r="L125" t="n">
        <v>0</v>
      </c>
      <c r="R125" t="inlineStr">
        <is>
          <t>customer651@example.com</t>
        </is>
      </c>
      <c r="S125">
        <f>+919839328025</f>
        <v/>
      </c>
      <c r="T125" t="inlineStr">
        <is>
          <t>[]</t>
        </is>
      </c>
      <c r="W125" t="inlineStr">
        <is>
          <t>BAD_REQUEST_ERROR</t>
        </is>
      </c>
      <c r="X125" t="inlineStr">
        <is>
          <t>UPI app declined the request</t>
        </is>
      </c>
      <c r="Y125" s="1" t="n">
        <v>46169.14584490741</v>
      </c>
    </row>
    <row r="126">
      <c r="A126" t="inlineStr">
        <is>
          <t>pay_z0VKDrGDFFovxe</t>
        </is>
      </c>
      <c r="B126" t="n">
        <v>999</v>
      </c>
      <c r="C126" t="inlineStr">
        <is>
          <t>INR</t>
        </is>
      </c>
      <c r="D126" t="inlineStr">
        <is>
          <t>captured</t>
        </is>
      </c>
      <c r="E126" t="inlineStr">
        <is>
          <t>order_GkL4mKSUSSqZ5d</t>
        </is>
      </c>
      <c r="G126" t="n">
        <v>0</v>
      </c>
      <c r="H126" t="inlineStr">
        <is>
          <t>upi</t>
        </is>
      </c>
      <c r="I126" t="n">
        <v>0</v>
      </c>
      <c r="J126" t="n">
        <v>0</v>
      </c>
      <c r="L126" t="n">
        <v>1</v>
      </c>
      <c r="R126" t="inlineStr">
        <is>
          <t>customer103@example.com</t>
        </is>
      </c>
      <c r="S126">
        <f>+919857525403</f>
        <v/>
      </c>
      <c r="T126" t="inlineStr">
        <is>
          <t>[]</t>
        </is>
      </c>
      <c r="U126" t="n">
        <v>19.98</v>
      </c>
      <c r="V126" t="n">
        <v>3.6</v>
      </c>
      <c r="Y126" s="1" t="n">
        <v>46169.15204861111</v>
      </c>
    </row>
    <row r="127">
      <c r="A127" t="inlineStr">
        <is>
          <t>pay_jw0XKPv6Iylh3X</t>
        </is>
      </c>
      <c r="B127" t="n">
        <v>1499</v>
      </c>
      <c r="C127" t="inlineStr">
        <is>
          <t>INR</t>
        </is>
      </c>
      <c r="D127" t="inlineStr">
        <is>
          <t>failed</t>
        </is>
      </c>
      <c r="E127" t="inlineStr">
        <is>
          <t>order_R0OCZHcWDFSQ7M</t>
        </is>
      </c>
      <c r="G127" t="n">
        <v>0</v>
      </c>
      <c r="H127" t="inlineStr">
        <is>
          <t>card</t>
        </is>
      </c>
      <c r="I127" t="n">
        <v>0</v>
      </c>
      <c r="J127" t="n">
        <v>0</v>
      </c>
      <c r="L127" t="n">
        <v>0</v>
      </c>
      <c r="R127" t="inlineStr">
        <is>
          <t>customer28@example.com</t>
        </is>
      </c>
      <c r="S127">
        <f>+919892729902</f>
        <v/>
      </c>
      <c r="T127" t="inlineStr">
        <is>
          <t>[]</t>
        </is>
      </c>
      <c r="W127" t="inlineStr">
        <is>
          <t>BAD_REQUEST_ERROR</t>
        </is>
      </c>
      <c r="X127" t="inlineStr">
        <is>
          <t>Payment failed due to incorrect OTP</t>
        </is>
      </c>
      <c r="Y127" s="1" t="n">
        <v>46163.64005787037</v>
      </c>
    </row>
    <row r="128">
      <c r="A128" t="inlineStr">
        <is>
          <t>pay_klLP8w8Aypo89R</t>
        </is>
      </c>
      <c r="B128" t="n">
        <v>1499</v>
      </c>
      <c r="C128" t="inlineStr">
        <is>
          <t>INR</t>
        </is>
      </c>
      <c r="D128" t="inlineStr">
        <is>
          <t>captured</t>
        </is>
      </c>
      <c r="E128" t="inlineStr">
        <is>
          <t>order_8VjZcETANRlhsf</t>
        </is>
      </c>
      <c r="G128" t="n">
        <v>0</v>
      </c>
      <c r="H128" t="inlineStr">
        <is>
          <t>upi</t>
        </is>
      </c>
      <c r="I128" t="n">
        <v>0</v>
      </c>
      <c r="J128" t="n">
        <v>0</v>
      </c>
      <c r="L128" t="n">
        <v>1</v>
      </c>
      <c r="R128" t="inlineStr">
        <is>
          <t>customer180@example.com</t>
        </is>
      </c>
      <c r="S128">
        <f>+919832221333</f>
        <v/>
      </c>
      <c r="T128" t="inlineStr">
        <is>
          <t>[]</t>
        </is>
      </c>
      <c r="U128" t="n">
        <v>29.98</v>
      </c>
      <c r="V128" t="n">
        <v>5.4</v>
      </c>
      <c r="Y128" s="1" t="n">
        <v>46169.74547453703</v>
      </c>
    </row>
    <row r="129">
      <c r="A129" t="inlineStr">
        <is>
          <t>pay_xq4XWY9QtUqLj1</t>
        </is>
      </c>
      <c r="B129" t="n">
        <v>3999</v>
      </c>
      <c r="C129" t="inlineStr">
        <is>
          <t>INR</t>
        </is>
      </c>
      <c r="D129" t="inlineStr">
        <is>
          <t>captured</t>
        </is>
      </c>
      <c r="E129" t="inlineStr">
        <is>
          <t>order_IikxQaXWFaXzPJ</t>
        </is>
      </c>
      <c r="G129" t="n">
        <v>0</v>
      </c>
      <c r="H129" t="inlineStr">
        <is>
          <t>netbanking</t>
        </is>
      </c>
      <c r="I129" t="n">
        <v>0</v>
      </c>
      <c r="J129" t="n">
        <v>0</v>
      </c>
      <c r="L129" t="n">
        <v>1</v>
      </c>
      <c r="R129" t="inlineStr">
        <is>
          <t>customer501@example.com</t>
        </is>
      </c>
      <c r="S129">
        <f>+919846924857</f>
        <v/>
      </c>
      <c r="T129" t="inlineStr">
        <is>
          <t>[]</t>
        </is>
      </c>
      <c r="U129" t="n">
        <v>79.98</v>
      </c>
      <c r="V129" t="n">
        <v>14.4</v>
      </c>
      <c r="Y129" s="1" t="n">
        <v>46145.33803240741</v>
      </c>
    </row>
    <row r="130">
      <c r="A130" t="inlineStr">
        <is>
          <t>pay_BwcZseqWmFFGVQ</t>
        </is>
      </c>
      <c r="B130" t="n">
        <v>1499</v>
      </c>
      <c r="C130" t="inlineStr">
        <is>
          <t>INR</t>
        </is>
      </c>
      <c r="D130" t="inlineStr">
        <is>
          <t>captured</t>
        </is>
      </c>
      <c r="E130" t="inlineStr">
        <is>
          <t>order_ZcAfzsFRaKix2L</t>
        </is>
      </c>
      <c r="G130" t="n">
        <v>0</v>
      </c>
      <c r="H130" t="inlineStr">
        <is>
          <t>card</t>
        </is>
      </c>
      <c r="I130" t="n">
        <v>0</v>
      </c>
      <c r="J130" t="n">
        <v>0</v>
      </c>
      <c r="L130" t="n">
        <v>1</v>
      </c>
      <c r="R130" t="inlineStr">
        <is>
          <t>customer664@example.com</t>
        </is>
      </c>
      <c r="S130">
        <f>+919847262887</f>
        <v/>
      </c>
      <c r="T130" t="inlineStr">
        <is>
          <t>[]</t>
        </is>
      </c>
      <c r="U130" t="n">
        <v>29.98</v>
      </c>
      <c r="V130" t="n">
        <v>5.4</v>
      </c>
      <c r="Y130" s="1" t="n">
        <v>46147.03107638889</v>
      </c>
    </row>
    <row r="131">
      <c r="A131" t="inlineStr">
        <is>
          <t>pay_f03cCDSTv5liYh</t>
        </is>
      </c>
      <c r="B131" t="n">
        <v>1799</v>
      </c>
      <c r="C131" t="inlineStr">
        <is>
          <t>INR</t>
        </is>
      </c>
      <c r="D131" t="inlineStr">
        <is>
          <t>captured</t>
        </is>
      </c>
      <c r="E131" t="inlineStr">
        <is>
          <t>order_tQR7cZYsL1T6v0</t>
        </is>
      </c>
      <c r="G131" t="n">
        <v>0</v>
      </c>
      <c r="H131" t="inlineStr">
        <is>
          <t>upi</t>
        </is>
      </c>
      <c r="I131" t="n">
        <v>0</v>
      </c>
      <c r="J131" t="n">
        <v>0</v>
      </c>
      <c r="L131" t="n">
        <v>1</v>
      </c>
      <c r="R131" t="inlineStr">
        <is>
          <t>customer191@example.com</t>
        </is>
      </c>
      <c r="S131">
        <f>+919877128484</f>
        <v/>
      </c>
      <c r="T131" t="inlineStr">
        <is>
          <t>[]</t>
        </is>
      </c>
      <c r="U131" t="n">
        <v>35.98</v>
      </c>
      <c r="V131" t="n">
        <v>6.48</v>
      </c>
      <c r="Y131" s="1" t="n">
        <v>46165.15258101852</v>
      </c>
    </row>
    <row r="132">
      <c r="A132" t="inlineStr">
        <is>
          <t>pay_QUoCZ75jQIzkiD</t>
        </is>
      </c>
      <c r="B132" t="n">
        <v>1499</v>
      </c>
      <c r="C132" t="inlineStr">
        <is>
          <t>INR</t>
        </is>
      </c>
      <c r="D132" t="inlineStr">
        <is>
          <t>failed</t>
        </is>
      </c>
      <c r="E132" t="inlineStr">
        <is>
          <t>order_k5DWp4n4L8VNH0</t>
        </is>
      </c>
      <c r="G132" t="n">
        <v>0</v>
      </c>
      <c r="H132" t="inlineStr">
        <is>
          <t>upi</t>
        </is>
      </c>
      <c r="I132" t="n">
        <v>0</v>
      </c>
      <c r="J132" t="n">
        <v>0</v>
      </c>
      <c r="L132" t="n">
        <v>0</v>
      </c>
      <c r="R132" t="inlineStr">
        <is>
          <t>customer505@example.com</t>
        </is>
      </c>
      <c r="S132">
        <f>+919845949625</f>
        <v/>
      </c>
      <c r="T132" t="inlineStr">
        <is>
          <t>[]</t>
        </is>
      </c>
      <c r="W132" t="inlineStr">
        <is>
          <t>BAD_REQUEST_ERROR</t>
        </is>
      </c>
      <c r="X132" t="inlineStr">
        <is>
          <t>UPI app declined the request</t>
        </is>
      </c>
      <c r="Y132" s="1" t="n">
        <v>46155.64097222222</v>
      </c>
    </row>
    <row r="133">
      <c r="A133" t="inlineStr">
        <is>
          <t>pay_2w78iK7xHtbmhr</t>
        </is>
      </c>
      <c r="B133" t="n">
        <v>1499</v>
      </c>
      <c r="C133" t="inlineStr">
        <is>
          <t>INR</t>
        </is>
      </c>
      <c r="D133" t="inlineStr">
        <is>
          <t>captured</t>
        </is>
      </c>
      <c r="E133" t="inlineStr">
        <is>
          <t>order_k5DWp4n4L8VNH0</t>
        </is>
      </c>
      <c r="G133" t="n">
        <v>0</v>
      </c>
      <c r="H133" t="inlineStr">
        <is>
          <t>upi</t>
        </is>
      </c>
      <c r="I133" t="n">
        <v>0</v>
      </c>
      <c r="J133" t="n">
        <v>0</v>
      </c>
      <c r="L133" t="n">
        <v>1</v>
      </c>
      <c r="R133" t="inlineStr">
        <is>
          <t>customer645@example.com</t>
        </is>
      </c>
      <c r="S133">
        <f>+919859590129</f>
        <v/>
      </c>
      <c r="T133" t="inlineStr">
        <is>
          <t>[]</t>
        </is>
      </c>
      <c r="U133" t="n">
        <v>29.98</v>
      </c>
      <c r="V133" t="n">
        <v>5.4</v>
      </c>
      <c r="Y133" s="1" t="n">
        <v>46155.64509259259</v>
      </c>
    </row>
    <row r="134">
      <c r="A134" t="inlineStr">
        <is>
          <t>pay_PUogrglJPq8fr3</t>
        </is>
      </c>
      <c r="B134" t="n">
        <v>2499</v>
      </c>
      <c r="C134" t="inlineStr">
        <is>
          <t>INR</t>
        </is>
      </c>
      <c r="D134" t="inlineStr">
        <is>
          <t>captured</t>
        </is>
      </c>
      <c r="E134" t="inlineStr">
        <is>
          <t>order_6RD5m7PkllsSRK</t>
        </is>
      </c>
      <c r="G134" t="n">
        <v>0</v>
      </c>
      <c r="H134" t="inlineStr">
        <is>
          <t>upi</t>
        </is>
      </c>
      <c r="I134" t="n">
        <v>0</v>
      </c>
      <c r="J134" t="n">
        <v>0</v>
      </c>
      <c r="L134" t="n">
        <v>1</v>
      </c>
      <c r="R134" t="inlineStr">
        <is>
          <t>customer710@example.com</t>
        </is>
      </c>
      <c r="S134">
        <f>+919811186731</f>
        <v/>
      </c>
      <c r="T134" t="inlineStr">
        <is>
          <t>[]</t>
        </is>
      </c>
      <c r="U134" t="n">
        <v>49.98</v>
      </c>
      <c r="V134" t="n">
        <v>9</v>
      </c>
      <c r="Y134" s="1" t="n">
        <v>46170.33467592593</v>
      </c>
    </row>
    <row r="135">
      <c r="A135" t="inlineStr">
        <is>
          <t>pay_ijjKXjFJIzHadA</t>
        </is>
      </c>
      <c r="B135" t="n">
        <v>499</v>
      </c>
      <c r="C135" t="inlineStr">
        <is>
          <t>INR</t>
        </is>
      </c>
      <c r="D135" t="inlineStr">
        <is>
          <t>captured</t>
        </is>
      </c>
      <c r="E135" t="inlineStr">
        <is>
          <t>order_Z8gUqjwP799MOj</t>
        </is>
      </c>
      <c r="G135" t="n">
        <v>0</v>
      </c>
      <c r="H135" t="inlineStr">
        <is>
          <t>upi</t>
        </is>
      </c>
      <c r="I135" t="n">
        <v>0</v>
      </c>
      <c r="J135" t="n">
        <v>0</v>
      </c>
      <c r="L135" t="n">
        <v>1</v>
      </c>
      <c r="R135" t="inlineStr">
        <is>
          <t>customer243@example.com</t>
        </is>
      </c>
      <c r="S135">
        <f>+919810771130</f>
        <v/>
      </c>
      <c r="T135" t="inlineStr">
        <is>
          <t>[]</t>
        </is>
      </c>
      <c r="U135" t="n">
        <v>9.98</v>
      </c>
      <c r="V135" t="n">
        <v>1.8</v>
      </c>
      <c r="Y135" s="1" t="n">
        <v>46144.30988425926</v>
      </c>
    </row>
    <row r="136">
      <c r="A136" t="inlineStr">
        <is>
          <t>pay_veUeWBQkA5gF5K</t>
        </is>
      </c>
      <c r="B136" t="n">
        <v>2499</v>
      </c>
      <c r="C136" t="inlineStr">
        <is>
          <t>INR</t>
        </is>
      </c>
      <c r="D136" t="inlineStr">
        <is>
          <t>captured</t>
        </is>
      </c>
      <c r="E136" t="inlineStr">
        <is>
          <t>order_wVZKADc89d9oc5</t>
        </is>
      </c>
      <c r="G136" t="n">
        <v>0</v>
      </c>
      <c r="H136" t="inlineStr">
        <is>
          <t>upi</t>
        </is>
      </c>
      <c r="I136" t="n">
        <v>0</v>
      </c>
      <c r="J136" t="n">
        <v>0</v>
      </c>
      <c r="L136" t="n">
        <v>1</v>
      </c>
      <c r="R136" t="inlineStr">
        <is>
          <t>customer510@example.com</t>
        </is>
      </c>
      <c r="S136">
        <f>+919826431244</f>
        <v/>
      </c>
      <c r="T136" t="inlineStr">
        <is>
          <t>[]</t>
        </is>
      </c>
      <c r="U136" t="n">
        <v>49.98</v>
      </c>
      <c r="V136" t="n">
        <v>9</v>
      </c>
      <c r="Y136" s="1" t="n">
        <v>46154.74783564815</v>
      </c>
    </row>
    <row r="137">
      <c r="A137" t="inlineStr">
        <is>
          <t>pay_Q9uqPnyQAjeH95</t>
        </is>
      </c>
      <c r="B137" t="n">
        <v>2499</v>
      </c>
      <c r="C137" t="inlineStr">
        <is>
          <t>INR</t>
        </is>
      </c>
      <c r="D137" t="inlineStr">
        <is>
          <t>captured</t>
        </is>
      </c>
      <c r="E137" t="inlineStr">
        <is>
          <t>order_WrccGUlzomqCoC</t>
        </is>
      </c>
      <c r="G137" t="n">
        <v>0</v>
      </c>
      <c r="H137" t="inlineStr">
        <is>
          <t>upi</t>
        </is>
      </c>
      <c r="I137" t="n">
        <v>0</v>
      </c>
      <c r="J137" t="n">
        <v>0</v>
      </c>
      <c r="L137" t="n">
        <v>1</v>
      </c>
      <c r="R137" t="inlineStr">
        <is>
          <t>customer103@example.com</t>
        </is>
      </c>
      <c r="S137">
        <f>+919861329557</f>
        <v/>
      </c>
      <c r="T137" t="inlineStr">
        <is>
          <t>[]</t>
        </is>
      </c>
      <c r="U137" t="n">
        <v>49.98</v>
      </c>
      <c r="V137" t="n">
        <v>9</v>
      </c>
      <c r="Y137" s="1" t="n">
        <v>46150.6064699074</v>
      </c>
    </row>
    <row r="138">
      <c r="A138" t="inlineStr">
        <is>
          <t>pay_hxPacv29t4W1K8</t>
        </is>
      </c>
      <c r="B138" t="n">
        <v>999</v>
      </c>
      <c r="C138" t="inlineStr">
        <is>
          <t>INR</t>
        </is>
      </c>
      <c r="D138" t="inlineStr">
        <is>
          <t>captured</t>
        </is>
      </c>
      <c r="E138" t="inlineStr">
        <is>
          <t>order_tdKSvRwSr8BafT</t>
        </is>
      </c>
      <c r="G138" t="n">
        <v>0</v>
      </c>
      <c r="H138" t="inlineStr">
        <is>
          <t>upi</t>
        </is>
      </c>
      <c r="I138" t="n">
        <v>0</v>
      </c>
      <c r="J138" t="n">
        <v>0</v>
      </c>
      <c r="L138" t="n">
        <v>1</v>
      </c>
      <c r="R138" t="inlineStr">
        <is>
          <t>customer660@example.com</t>
        </is>
      </c>
      <c r="S138">
        <f>+919885947324</f>
        <v/>
      </c>
      <c r="T138" t="inlineStr">
        <is>
          <t>[]</t>
        </is>
      </c>
      <c r="U138" t="n">
        <v>19.98</v>
      </c>
      <c r="V138" t="n">
        <v>3.6</v>
      </c>
      <c r="Y138" s="1" t="n">
        <v>46146.63946759259</v>
      </c>
    </row>
    <row r="139">
      <c r="A139" t="inlineStr">
        <is>
          <t>pay_Gp5FxsyRYDTnCw</t>
        </is>
      </c>
      <c r="B139" t="n">
        <v>999</v>
      </c>
      <c r="C139" t="inlineStr">
        <is>
          <t>INR</t>
        </is>
      </c>
      <c r="D139" t="inlineStr">
        <is>
          <t>failed</t>
        </is>
      </c>
      <c r="E139" t="inlineStr">
        <is>
          <t>order_GDuxFKnrFFzPlG</t>
        </is>
      </c>
      <c r="G139" t="n">
        <v>0</v>
      </c>
      <c r="H139" t="inlineStr">
        <is>
          <t>card</t>
        </is>
      </c>
      <c r="I139" t="n">
        <v>0</v>
      </c>
      <c r="J139" t="n">
        <v>0</v>
      </c>
      <c r="L139" t="n">
        <v>0</v>
      </c>
      <c r="R139" t="inlineStr">
        <is>
          <t>customer314@example.com</t>
        </is>
      </c>
      <c r="S139">
        <f>+919871070852</f>
        <v/>
      </c>
      <c r="T139" t="inlineStr">
        <is>
          <t>[]</t>
        </is>
      </c>
      <c r="W139" t="inlineStr">
        <is>
          <t>BAD_REQUEST_ERROR</t>
        </is>
      </c>
      <c r="X139" t="inlineStr">
        <is>
          <t>Payment failed due to incorrect OTP</t>
        </is>
      </c>
      <c r="Y139" s="1" t="n">
        <v>46168.88896990741</v>
      </c>
    </row>
    <row r="140">
      <c r="A140" t="inlineStr">
        <is>
          <t>pay_ATpwbIvzBL31sX</t>
        </is>
      </c>
      <c r="B140" t="n">
        <v>999</v>
      </c>
      <c r="C140" t="inlineStr">
        <is>
          <t>INR</t>
        </is>
      </c>
      <c r="D140" t="inlineStr">
        <is>
          <t>failed</t>
        </is>
      </c>
      <c r="E140" t="inlineStr">
        <is>
          <t>order_GDuxFKnrFFzPlG</t>
        </is>
      </c>
      <c r="G140" t="n">
        <v>0</v>
      </c>
      <c r="H140" t="inlineStr">
        <is>
          <t>card</t>
        </is>
      </c>
      <c r="I140" t="n">
        <v>0</v>
      </c>
      <c r="J140" t="n">
        <v>0</v>
      </c>
      <c r="L140" t="n">
        <v>0</v>
      </c>
      <c r="R140" t="inlineStr">
        <is>
          <t>customer349@example.com</t>
        </is>
      </c>
      <c r="S140">
        <f>+919855219881</f>
        <v/>
      </c>
      <c r="T140" t="inlineStr">
        <is>
          <t>[]</t>
        </is>
      </c>
      <c r="W140" t="inlineStr">
        <is>
          <t>BAD_REQUEST_ERROR</t>
        </is>
      </c>
      <c r="X140" t="inlineStr">
        <is>
          <t>Payment failed due to incorrect OTP</t>
        </is>
      </c>
      <c r="Y140" s="1" t="n">
        <v>46168.89196759259</v>
      </c>
    </row>
    <row r="141">
      <c r="A141" t="inlineStr">
        <is>
          <t>pay_wqES301BAt8ljr</t>
        </is>
      </c>
      <c r="B141" t="n">
        <v>999</v>
      </c>
      <c r="C141" t="inlineStr">
        <is>
          <t>INR</t>
        </is>
      </c>
      <c r="D141" t="inlineStr">
        <is>
          <t>captured</t>
        </is>
      </c>
      <c r="E141" t="inlineStr">
        <is>
          <t>order_GDuxFKnrFFzPlG</t>
        </is>
      </c>
      <c r="G141" t="n">
        <v>0</v>
      </c>
      <c r="H141" t="inlineStr">
        <is>
          <t>card</t>
        </is>
      </c>
      <c r="I141" t="n">
        <v>0</v>
      </c>
      <c r="J141" t="n">
        <v>0</v>
      </c>
      <c r="L141" t="n">
        <v>1</v>
      </c>
      <c r="R141" t="inlineStr">
        <is>
          <t>customer691@example.com</t>
        </is>
      </c>
      <c r="S141">
        <f>+919842934023</f>
        <v/>
      </c>
      <c r="T141" t="inlineStr">
        <is>
          <t>[]</t>
        </is>
      </c>
      <c r="U141" t="n">
        <v>19.98</v>
      </c>
      <c r="V141" t="n">
        <v>3.6</v>
      </c>
      <c r="Y141" s="1" t="n">
        <v>46168.89439814815</v>
      </c>
    </row>
    <row r="142">
      <c r="A142" t="inlineStr">
        <is>
          <t>pay_LFhntzw3h9o1pK</t>
        </is>
      </c>
      <c r="B142" t="n">
        <v>2499</v>
      </c>
      <c r="C142" t="inlineStr">
        <is>
          <t>INR</t>
        </is>
      </c>
      <c r="D142" t="inlineStr">
        <is>
          <t>refunded</t>
        </is>
      </c>
      <c r="E142" t="inlineStr">
        <is>
          <t>order_uQMlbPLsm14oKJ</t>
        </is>
      </c>
      <c r="G142" t="n">
        <v>0</v>
      </c>
      <c r="H142" t="inlineStr">
        <is>
          <t>upi</t>
        </is>
      </c>
      <c r="I142" t="n">
        <v>2499</v>
      </c>
      <c r="J142" t="n">
        <v>0</v>
      </c>
      <c r="K142" t="inlineStr">
        <is>
          <t>full</t>
        </is>
      </c>
      <c r="L142" t="n">
        <v>1</v>
      </c>
      <c r="R142" t="inlineStr">
        <is>
          <t>customer387@example.com</t>
        </is>
      </c>
      <c r="S142">
        <f>+919895050974</f>
        <v/>
      </c>
      <c r="T142" t="inlineStr">
        <is>
          <t>[]</t>
        </is>
      </c>
      <c r="U142" t="n">
        <v>49.98</v>
      </c>
      <c r="V142" t="n">
        <v>9</v>
      </c>
      <c r="Y142" s="1" t="n">
        <v>46148.54386574074</v>
      </c>
    </row>
    <row r="143">
      <c r="A143" t="inlineStr">
        <is>
          <t>pay_Hny0LIqVMS0w9N</t>
        </is>
      </c>
      <c r="B143" t="n">
        <v>3999</v>
      </c>
      <c r="C143" t="inlineStr">
        <is>
          <t>INR</t>
        </is>
      </c>
      <c r="D143" t="inlineStr">
        <is>
          <t>captured</t>
        </is>
      </c>
      <c r="E143" t="inlineStr">
        <is>
          <t>order_2t2Qe4lazC4vwS</t>
        </is>
      </c>
      <c r="G143" t="n">
        <v>0</v>
      </c>
      <c r="H143" t="inlineStr">
        <is>
          <t>upi</t>
        </is>
      </c>
      <c r="I143" t="n">
        <v>0</v>
      </c>
      <c r="J143" t="n">
        <v>0</v>
      </c>
      <c r="L143" t="n">
        <v>1</v>
      </c>
      <c r="R143" t="inlineStr">
        <is>
          <t>customer141@example.com</t>
        </is>
      </c>
      <c r="S143">
        <f>+919854082083</f>
        <v/>
      </c>
      <c r="T143" t="inlineStr">
        <is>
          <t>[]</t>
        </is>
      </c>
      <c r="U143" t="n">
        <v>79.98</v>
      </c>
      <c r="V143" t="n">
        <v>14.4</v>
      </c>
      <c r="Y143" s="1" t="n">
        <v>46164.38521990741</v>
      </c>
    </row>
    <row r="144">
      <c r="A144" t="inlineStr">
        <is>
          <t>pay_PEDmkORqNiMkFt</t>
        </is>
      </c>
      <c r="B144" t="n">
        <v>1499</v>
      </c>
      <c r="C144" t="inlineStr">
        <is>
          <t>INR</t>
        </is>
      </c>
      <c r="D144" t="inlineStr">
        <is>
          <t>captured</t>
        </is>
      </c>
      <c r="E144" t="inlineStr">
        <is>
          <t>order_z7wykPPBzoWCZx</t>
        </is>
      </c>
      <c r="G144" t="n">
        <v>0</v>
      </c>
      <c r="H144" t="inlineStr">
        <is>
          <t>upi</t>
        </is>
      </c>
      <c r="I144" t="n">
        <v>0</v>
      </c>
      <c r="J144" t="n">
        <v>0</v>
      </c>
      <c r="L144" t="n">
        <v>1</v>
      </c>
      <c r="R144" t="inlineStr">
        <is>
          <t>customer564@example.com</t>
        </is>
      </c>
      <c r="S144">
        <f>+919881699644</f>
        <v/>
      </c>
      <c r="T144" t="inlineStr">
        <is>
          <t>[]</t>
        </is>
      </c>
      <c r="U144" t="n">
        <v>29.98</v>
      </c>
      <c r="V144" t="n">
        <v>5.4</v>
      </c>
      <c r="Y144" s="1" t="n">
        <v>46148.5350925926</v>
      </c>
    </row>
    <row r="145">
      <c r="A145" t="inlineStr">
        <is>
          <t>pay_gLc58Tq0kZGa3B</t>
        </is>
      </c>
      <c r="B145" t="n">
        <v>1799</v>
      </c>
      <c r="C145" t="inlineStr">
        <is>
          <t>INR</t>
        </is>
      </c>
      <c r="D145" t="inlineStr">
        <is>
          <t>captured</t>
        </is>
      </c>
      <c r="E145" t="inlineStr">
        <is>
          <t>order_Tgqsm8W6ZPUth0</t>
        </is>
      </c>
      <c r="G145" t="n">
        <v>0</v>
      </c>
      <c r="H145" t="inlineStr">
        <is>
          <t>netbanking</t>
        </is>
      </c>
      <c r="I145" t="n">
        <v>0</v>
      </c>
      <c r="J145" t="n">
        <v>0</v>
      </c>
      <c r="L145" t="n">
        <v>1</v>
      </c>
      <c r="R145" t="inlineStr">
        <is>
          <t>customer851@example.com</t>
        </is>
      </c>
      <c r="S145">
        <f>+919870924063</f>
        <v/>
      </c>
      <c r="T145" t="inlineStr">
        <is>
          <t>[]</t>
        </is>
      </c>
      <c r="U145" t="n">
        <v>35.98</v>
      </c>
      <c r="V145" t="n">
        <v>6.48</v>
      </c>
      <c r="Y145" s="1" t="n">
        <v>46149.50655092593</v>
      </c>
    </row>
    <row r="146">
      <c r="A146" t="inlineStr">
        <is>
          <t>pay_OzGj4DFWmSvYfr</t>
        </is>
      </c>
      <c r="B146" t="n">
        <v>999</v>
      </c>
      <c r="C146" t="inlineStr">
        <is>
          <t>INR</t>
        </is>
      </c>
      <c r="D146" t="inlineStr">
        <is>
          <t>captured</t>
        </is>
      </c>
      <c r="E146" t="inlineStr">
        <is>
          <t>order_UZpRynn7wFFbUU</t>
        </is>
      </c>
      <c r="G146" t="n">
        <v>0</v>
      </c>
      <c r="H146" t="inlineStr">
        <is>
          <t>upi</t>
        </is>
      </c>
      <c r="I146" t="n">
        <v>0</v>
      </c>
      <c r="J146" t="n">
        <v>0</v>
      </c>
      <c r="L146" t="n">
        <v>1</v>
      </c>
      <c r="R146" t="inlineStr">
        <is>
          <t>customer651@example.com</t>
        </is>
      </c>
      <c r="S146">
        <f>+919826266007</f>
        <v/>
      </c>
      <c r="T146" t="inlineStr">
        <is>
          <t>[]</t>
        </is>
      </c>
      <c r="U146" t="n">
        <v>19.98</v>
      </c>
      <c r="V146" t="n">
        <v>3.6</v>
      </c>
      <c r="Y146" s="1" t="n">
        <v>46153.70813657407</v>
      </c>
    </row>
    <row r="147">
      <c r="A147" t="inlineStr">
        <is>
          <t>pay_FZb5mcVJHnWsTo</t>
        </is>
      </c>
      <c r="B147" t="n">
        <v>2499</v>
      </c>
      <c r="C147" t="inlineStr">
        <is>
          <t>INR</t>
        </is>
      </c>
      <c r="D147" t="inlineStr">
        <is>
          <t>captured</t>
        </is>
      </c>
      <c r="E147" t="inlineStr">
        <is>
          <t>order_BP7lgzFjn1yjlJ</t>
        </is>
      </c>
      <c r="G147" t="n">
        <v>0</v>
      </c>
      <c r="H147" t="inlineStr">
        <is>
          <t>card</t>
        </is>
      </c>
      <c r="I147" t="n">
        <v>0</v>
      </c>
      <c r="J147" t="n">
        <v>0</v>
      </c>
      <c r="L147" t="n">
        <v>1</v>
      </c>
      <c r="R147" t="inlineStr">
        <is>
          <t>customer587@example.com</t>
        </is>
      </c>
      <c r="S147">
        <f>+919833079375</f>
        <v/>
      </c>
      <c r="T147" t="inlineStr">
        <is>
          <t>[]</t>
        </is>
      </c>
      <c r="U147" t="n">
        <v>49.98</v>
      </c>
      <c r="V147" t="n">
        <v>9</v>
      </c>
      <c r="Y147" s="1" t="n">
        <v>46164.13701388889</v>
      </c>
    </row>
    <row r="148">
      <c r="A148" t="inlineStr">
        <is>
          <t>pay_CxWShnaugRW9mc</t>
        </is>
      </c>
      <c r="B148" t="n">
        <v>1499</v>
      </c>
      <c r="C148" t="inlineStr">
        <is>
          <t>INR</t>
        </is>
      </c>
      <c r="D148" t="inlineStr">
        <is>
          <t>captured</t>
        </is>
      </c>
      <c r="E148" t="inlineStr">
        <is>
          <t>order_DeNQjITg01dpfp</t>
        </is>
      </c>
      <c r="G148" t="n">
        <v>0</v>
      </c>
      <c r="H148" t="inlineStr">
        <is>
          <t>upi</t>
        </is>
      </c>
      <c r="I148" t="n">
        <v>0</v>
      </c>
      <c r="J148" t="n">
        <v>0</v>
      </c>
      <c r="L148" t="n">
        <v>1</v>
      </c>
      <c r="R148" t="inlineStr">
        <is>
          <t>customer776@example.com</t>
        </is>
      </c>
      <c r="S148">
        <f>+919862105428</f>
        <v/>
      </c>
      <c r="T148" t="inlineStr">
        <is>
          <t>[]</t>
        </is>
      </c>
      <c r="U148" t="n">
        <v>29.98</v>
      </c>
      <c r="V148" t="n">
        <v>5.4</v>
      </c>
      <c r="Y148" s="1" t="n">
        <v>46159.83368055556</v>
      </c>
    </row>
    <row r="149">
      <c r="A149" t="inlineStr">
        <is>
          <t>pay_39FhQ3AaqEjlY2</t>
        </is>
      </c>
      <c r="B149" t="n">
        <v>1799</v>
      </c>
      <c r="C149" t="inlineStr">
        <is>
          <t>INR</t>
        </is>
      </c>
      <c r="D149" t="inlineStr">
        <is>
          <t>failed</t>
        </is>
      </c>
      <c r="E149" t="inlineStr">
        <is>
          <t>order_HnzMYUPKGUrZ4Y</t>
        </is>
      </c>
      <c r="G149" t="n">
        <v>0</v>
      </c>
      <c r="H149" t="inlineStr">
        <is>
          <t>upi</t>
        </is>
      </c>
      <c r="I149" t="n">
        <v>0</v>
      </c>
      <c r="J149" t="n">
        <v>0</v>
      </c>
      <c r="L149" t="n">
        <v>0</v>
      </c>
      <c r="R149" t="inlineStr">
        <is>
          <t>customer445@example.com</t>
        </is>
      </c>
      <c r="S149">
        <f>+919895301665</f>
        <v/>
      </c>
      <c r="T149" t="inlineStr">
        <is>
          <t>[]</t>
        </is>
      </c>
      <c r="W149" t="inlineStr">
        <is>
          <t>BAD_REQUEST_ERROR</t>
        </is>
      </c>
      <c r="X149" t="inlineStr">
        <is>
          <t>Payment was not completed on time</t>
        </is>
      </c>
      <c r="Y149" s="1" t="n">
        <v>46162.99417824074</v>
      </c>
    </row>
    <row r="150">
      <c r="A150" t="inlineStr">
        <is>
          <t>pay_BuLuhPrXsHYhTe</t>
        </is>
      </c>
      <c r="B150" t="n">
        <v>1799</v>
      </c>
      <c r="C150" t="inlineStr">
        <is>
          <t>INR</t>
        </is>
      </c>
      <c r="D150" t="inlineStr">
        <is>
          <t>captured</t>
        </is>
      </c>
      <c r="E150" t="inlineStr">
        <is>
          <t>order_HnzMYUPKGUrZ4Y</t>
        </is>
      </c>
      <c r="G150" t="n">
        <v>0</v>
      </c>
      <c r="H150" t="inlineStr">
        <is>
          <t>upi</t>
        </is>
      </c>
      <c r="I150" t="n">
        <v>0</v>
      </c>
      <c r="J150" t="n">
        <v>0</v>
      </c>
      <c r="L150" t="n">
        <v>1</v>
      </c>
      <c r="R150" t="inlineStr">
        <is>
          <t>customer307@example.com</t>
        </is>
      </c>
      <c r="S150">
        <f>+919813376455</f>
        <v/>
      </c>
      <c r="T150" t="inlineStr">
        <is>
          <t>[]</t>
        </is>
      </c>
      <c r="U150" t="n">
        <v>35.98</v>
      </c>
      <c r="V150" t="n">
        <v>6.48</v>
      </c>
      <c r="Y150" s="1" t="n">
        <v>46162.99791666667</v>
      </c>
    </row>
    <row r="151">
      <c r="A151" t="inlineStr">
        <is>
          <t>pay_KOq5jyLwLkjqZh</t>
        </is>
      </c>
      <c r="B151" t="n">
        <v>1799</v>
      </c>
      <c r="C151" t="inlineStr">
        <is>
          <t>INR</t>
        </is>
      </c>
      <c r="D151" t="inlineStr">
        <is>
          <t>failed</t>
        </is>
      </c>
      <c r="E151" t="inlineStr">
        <is>
          <t>order_MNT3hCEBg5xmDS</t>
        </is>
      </c>
      <c r="G151" t="n">
        <v>0</v>
      </c>
      <c r="H151" t="inlineStr">
        <is>
          <t>card</t>
        </is>
      </c>
      <c r="I151" t="n">
        <v>0</v>
      </c>
      <c r="J151" t="n">
        <v>0</v>
      </c>
      <c r="L151" t="n">
        <v>0</v>
      </c>
      <c r="R151" t="inlineStr">
        <is>
          <t>customer18@example.com</t>
        </is>
      </c>
      <c r="S151">
        <f>+919865865602</f>
        <v/>
      </c>
      <c r="T151" t="inlineStr">
        <is>
          <t>[]</t>
        </is>
      </c>
      <c r="W151" t="inlineStr">
        <is>
          <t>BAD_REQUEST_ERROR</t>
        </is>
      </c>
      <c r="X151" t="inlineStr">
        <is>
          <t>Card declined by bank</t>
        </is>
      </c>
      <c r="Y151" s="1" t="n">
        <v>46160.90229166667</v>
      </c>
    </row>
    <row r="152">
      <c r="A152" t="inlineStr">
        <is>
          <t>pay_BVgXzFYYwXfbFN</t>
        </is>
      </c>
      <c r="B152" t="n">
        <v>1799</v>
      </c>
      <c r="C152" t="inlineStr">
        <is>
          <t>INR</t>
        </is>
      </c>
      <c r="D152" t="inlineStr">
        <is>
          <t>failed</t>
        </is>
      </c>
      <c r="E152" t="inlineStr">
        <is>
          <t>order_MNT3hCEBg5xmDS</t>
        </is>
      </c>
      <c r="G152" t="n">
        <v>0</v>
      </c>
      <c r="H152" t="inlineStr">
        <is>
          <t>card</t>
        </is>
      </c>
      <c r="I152" t="n">
        <v>0</v>
      </c>
      <c r="J152" t="n">
        <v>0</v>
      </c>
      <c r="L152" t="n">
        <v>0</v>
      </c>
      <c r="R152" t="inlineStr">
        <is>
          <t>customer835@example.com</t>
        </is>
      </c>
      <c r="S152">
        <f>+919822151053</f>
        <v/>
      </c>
      <c r="T152" t="inlineStr">
        <is>
          <t>[]</t>
        </is>
      </c>
      <c r="W152" t="inlineStr">
        <is>
          <t>BAD_REQUEST_ERROR</t>
        </is>
      </c>
      <c r="X152" t="inlineStr">
        <is>
          <t>Payment cancelled by user</t>
        </is>
      </c>
      <c r="Y152" s="1" t="n">
        <v>46160.90611111111</v>
      </c>
    </row>
    <row r="153">
      <c r="A153" t="inlineStr">
        <is>
          <t>pay_8BKt7I8HOsdgAJ</t>
        </is>
      </c>
      <c r="B153" t="n">
        <v>1799</v>
      </c>
      <c r="C153" t="inlineStr">
        <is>
          <t>INR</t>
        </is>
      </c>
      <c r="D153" t="inlineStr">
        <is>
          <t>captured</t>
        </is>
      </c>
      <c r="E153" t="inlineStr">
        <is>
          <t>order_MNT3hCEBg5xmDS</t>
        </is>
      </c>
      <c r="G153" t="n">
        <v>0</v>
      </c>
      <c r="H153" t="inlineStr">
        <is>
          <t>card</t>
        </is>
      </c>
      <c r="I153" t="n">
        <v>0</v>
      </c>
      <c r="J153" t="n">
        <v>0</v>
      </c>
      <c r="L153" t="n">
        <v>1</v>
      </c>
      <c r="R153" t="inlineStr">
        <is>
          <t>customer221@example.com</t>
        </is>
      </c>
      <c r="S153">
        <f>+919888867359</f>
        <v/>
      </c>
      <c r="T153" t="inlineStr">
        <is>
          <t>[]</t>
        </is>
      </c>
      <c r="U153" t="n">
        <v>35.98</v>
      </c>
      <c r="V153" t="n">
        <v>6.48</v>
      </c>
      <c r="Y153" s="1" t="n">
        <v>46160.90796296296</v>
      </c>
    </row>
    <row r="154">
      <c r="A154" t="inlineStr">
        <is>
          <t>pay_FKLoAC61XiHhYa</t>
        </is>
      </c>
      <c r="B154" t="n">
        <v>1799</v>
      </c>
      <c r="C154" t="inlineStr">
        <is>
          <t>INR</t>
        </is>
      </c>
      <c r="D154" t="inlineStr">
        <is>
          <t>failed</t>
        </is>
      </c>
      <c r="E154" t="inlineStr">
        <is>
          <t>order_rJbCuINFfGvwtZ</t>
        </is>
      </c>
      <c r="G154" t="n">
        <v>0</v>
      </c>
      <c r="H154" t="inlineStr">
        <is>
          <t>upi</t>
        </is>
      </c>
      <c r="I154" t="n">
        <v>0</v>
      </c>
      <c r="J154" t="n">
        <v>0</v>
      </c>
      <c r="L154" t="n">
        <v>0</v>
      </c>
      <c r="R154" t="inlineStr">
        <is>
          <t>customer264@example.com</t>
        </is>
      </c>
      <c r="S154">
        <f>+919833549122</f>
        <v/>
      </c>
      <c r="T154" t="inlineStr">
        <is>
          <t>[]</t>
        </is>
      </c>
      <c r="W154" t="inlineStr">
        <is>
          <t>BAD_REQUEST_ERROR</t>
        </is>
      </c>
      <c r="X154" t="inlineStr">
        <is>
          <t>UPI app declined the request</t>
        </is>
      </c>
      <c r="Y154" s="1" t="n">
        <v>46156.49173611111</v>
      </c>
    </row>
    <row r="155">
      <c r="A155" t="inlineStr">
        <is>
          <t>pay_kOsXlNGA37yQmP</t>
        </is>
      </c>
      <c r="B155" t="n">
        <v>1799</v>
      </c>
      <c r="C155" t="inlineStr">
        <is>
          <t>INR</t>
        </is>
      </c>
      <c r="D155" t="inlineStr">
        <is>
          <t>captured</t>
        </is>
      </c>
      <c r="E155" t="inlineStr">
        <is>
          <t>order_rJbCuINFfGvwtZ</t>
        </is>
      </c>
      <c r="G155" t="n">
        <v>0</v>
      </c>
      <c r="H155" t="inlineStr">
        <is>
          <t>upi</t>
        </is>
      </c>
      <c r="I155" t="n">
        <v>0</v>
      </c>
      <c r="J155" t="n">
        <v>0</v>
      </c>
      <c r="L155" t="n">
        <v>1</v>
      </c>
      <c r="R155" t="inlineStr">
        <is>
          <t>customer576@example.com</t>
        </is>
      </c>
      <c r="S155">
        <f>+919897270332</f>
        <v/>
      </c>
      <c r="T155" t="inlineStr">
        <is>
          <t>[]</t>
        </is>
      </c>
      <c r="U155" t="n">
        <v>35.98</v>
      </c>
      <c r="V155" t="n">
        <v>6.48</v>
      </c>
      <c r="Y155" s="1" t="n">
        <v>46156.49425925926</v>
      </c>
    </row>
    <row r="156">
      <c r="A156" t="inlineStr">
        <is>
          <t>pay_BndJb0VKMK2Ejy</t>
        </is>
      </c>
      <c r="B156" t="n">
        <v>3999</v>
      </c>
      <c r="C156" t="inlineStr">
        <is>
          <t>INR</t>
        </is>
      </c>
      <c r="D156" t="inlineStr">
        <is>
          <t>captured</t>
        </is>
      </c>
      <c r="E156" t="inlineStr">
        <is>
          <t>order_rfm46nCBNWf6yo</t>
        </is>
      </c>
      <c r="G156" t="n">
        <v>0</v>
      </c>
      <c r="H156" t="inlineStr">
        <is>
          <t>card</t>
        </is>
      </c>
      <c r="I156" t="n">
        <v>0</v>
      </c>
      <c r="J156" t="n">
        <v>0</v>
      </c>
      <c r="L156" t="n">
        <v>1</v>
      </c>
      <c r="R156" t="inlineStr">
        <is>
          <t>customer553@example.com</t>
        </is>
      </c>
      <c r="S156">
        <f>+919872121770</f>
        <v/>
      </c>
      <c r="T156" t="inlineStr">
        <is>
          <t>[]</t>
        </is>
      </c>
      <c r="U156" t="n">
        <v>79.98</v>
      </c>
      <c r="V156" t="n">
        <v>14.4</v>
      </c>
      <c r="Y156" s="1" t="n">
        <v>46158.98189814815</v>
      </c>
    </row>
    <row r="157">
      <c r="A157" t="inlineStr">
        <is>
          <t>pay_6WBCVtgMYpQ3hi</t>
        </is>
      </c>
      <c r="B157" t="n">
        <v>1499</v>
      </c>
      <c r="C157" t="inlineStr">
        <is>
          <t>INR</t>
        </is>
      </c>
      <c r="D157" t="inlineStr">
        <is>
          <t>captured</t>
        </is>
      </c>
      <c r="E157" t="inlineStr">
        <is>
          <t>order_jf8WPuAmrQcFFc</t>
        </is>
      </c>
      <c r="G157" t="n">
        <v>0</v>
      </c>
      <c r="H157" t="inlineStr">
        <is>
          <t>netbanking</t>
        </is>
      </c>
      <c r="I157" t="n">
        <v>0</v>
      </c>
      <c r="J157" t="n">
        <v>0</v>
      </c>
      <c r="L157" t="n">
        <v>1</v>
      </c>
      <c r="R157" t="inlineStr">
        <is>
          <t>customer505@example.com</t>
        </is>
      </c>
      <c r="S157">
        <f>+919899584207</f>
        <v/>
      </c>
      <c r="T157" t="inlineStr">
        <is>
          <t>[]</t>
        </is>
      </c>
      <c r="U157" t="n">
        <v>29.98</v>
      </c>
      <c r="V157" t="n">
        <v>5.4</v>
      </c>
      <c r="Y157" s="1" t="n">
        <v>46155.90900462963</v>
      </c>
    </row>
    <row r="158">
      <c r="A158" t="inlineStr">
        <is>
          <t>pay_H5J4J9bCIT8MDN</t>
        </is>
      </c>
      <c r="B158" t="n">
        <v>499</v>
      </c>
      <c r="C158" t="inlineStr">
        <is>
          <t>INR</t>
        </is>
      </c>
      <c r="D158" t="inlineStr">
        <is>
          <t>captured</t>
        </is>
      </c>
      <c r="E158" t="inlineStr">
        <is>
          <t>order_TDV0sLAKPaD3vD</t>
        </is>
      </c>
      <c r="G158" t="n">
        <v>0</v>
      </c>
      <c r="H158" t="inlineStr">
        <is>
          <t>card</t>
        </is>
      </c>
      <c r="I158" t="n">
        <v>0</v>
      </c>
      <c r="J158" t="n">
        <v>0</v>
      </c>
      <c r="L158" t="n">
        <v>1</v>
      </c>
      <c r="R158" t="inlineStr">
        <is>
          <t>customer547@example.com</t>
        </is>
      </c>
      <c r="S158">
        <f>+919816057038</f>
        <v/>
      </c>
      <c r="T158" t="inlineStr">
        <is>
          <t>[]</t>
        </is>
      </c>
      <c r="U158" t="n">
        <v>9.98</v>
      </c>
      <c r="V158" t="n">
        <v>1.8</v>
      </c>
      <c r="Y158" s="1" t="n">
        <v>46172.03944444445</v>
      </c>
    </row>
    <row r="159">
      <c r="A159" t="inlineStr">
        <is>
          <t>pay_FxvXkIV6bqE6k0</t>
        </is>
      </c>
      <c r="B159" t="n">
        <v>3999</v>
      </c>
      <c r="C159" t="inlineStr">
        <is>
          <t>INR</t>
        </is>
      </c>
      <c r="D159" t="inlineStr">
        <is>
          <t>captured</t>
        </is>
      </c>
      <c r="E159" t="inlineStr">
        <is>
          <t>order_at2dWbOXoxoRGL</t>
        </is>
      </c>
      <c r="G159" t="n">
        <v>0</v>
      </c>
      <c r="H159" t="inlineStr">
        <is>
          <t>upi</t>
        </is>
      </c>
      <c r="I159" t="n">
        <v>0</v>
      </c>
      <c r="J159" t="n">
        <v>0</v>
      </c>
      <c r="L159" t="n">
        <v>1</v>
      </c>
      <c r="R159" t="inlineStr">
        <is>
          <t>customer407@example.com</t>
        </is>
      </c>
      <c r="S159">
        <f>+919883526790</f>
        <v/>
      </c>
      <c r="T159" t="inlineStr">
        <is>
          <t>[]</t>
        </is>
      </c>
      <c r="U159" t="n">
        <v>79.98</v>
      </c>
      <c r="V159" t="n">
        <v>14.4</v>
      </c>
      <c r="Y159" s="1" t="n">
        <v>46157.05605324074</v>
      </c>
    </row>
    <row r="160">
      <c r="A160" t="inlineStr">
        <is>
          <t>pay_VVNZ9uZ5tQQ0Jr</t>
        </is>
      </c>
      <c r="B160" t="n">
        <v>1499</v>
      </c>
      <c r="C160" t="inlineStr">
        <is>
          <t>INR</t>
        </is>
      </c>
      <c r="D160" t="inlineStr">
        <is>
          <t>captured</t>
        </is>
      </c>
      <c r="E160" t="inlineStr">
        <is>
          <t>order_ex5Hc20CUEZh3j</t>
        </is>
      </c>
      <c r="G160" t="n">
        <v>0</v>
      </c>
      <c r="H160" t="inlineStr">
        <is>
          <t>upi</t>
        </is>
      </c>
      <c r="I160" t="n">
        <v>0</v>
      </c>
      <c r="J160" t="n">
        <v>0</v>
      </c>
      <c r="L160" t="n">
        <v>1</v>
      </c>
      <c r="R160" t="inlineStr">
        <is>
          <t>customer258@example.com</t>
        </is>
      </c>
      <c r="S160">
        <f>+919891181547</f>
        <v/>
      </c>
      <c r="T160" t="inlineStr">
        <is>
          <t>[]</t>
        </is>
      </c>
      <c r="U160" t="n">
        <v>29.98</v>
      </c>
      <c r="V160" t="n">
        <v>5.4</v>
      </c>
      <c r="Y160" s="1" t="n">
        <v>46146.12240740741</v>
      </c>
    </row>
    <row r="161">
      <c r="A161" t="inlineStr">
        <is>
          <t>pay_lm5a4yhCd6Mhym</t>
        </is>
      </c>
      <c r="B161" t="n">
        <v>999</v>
      </c>
      <c r="C161" t="inlineStr">
        <is>
          <t>INR</t>
        </is>
      </c>
      <c r="D161" t="inlineStr">
        <is>
          <t>captured</t>
        </is>
      </c>
      <c r="E161" t="inlineStr">
        <is>
          <t>order_MxjRb2msauT5QX</t>
        </is>
      </c>
      <c r="G161" t="n">
        <v>0</v>
      </c>
      <c r="H161" t="inlineStr">
        <is>
          <t>upi</t>
        </is>
      </c>
      <c r="I161" t="n">
        <v>0</v>
      </c>
      <c r="J161" t="n">
        <v>0</v>
      </c>
      <c r="L161" t="n">
        <v>1</v>
      </c>
      <c r="R161" t="inlineStr">
        <is>
          <t>customer602@example.com</t>
        </is>
      </c>
      <c r="S161">
        <f>+919868468841</f>
        <v/>
      </c>
      <c r="T161" t="inlineStr">
        <is>
          <t>[]</t>
        </is>
      </c>
      <c r="U161" t="n">
        <v>19.98</v>
      </c>
      <c r="V161" t="n">
        <v>3.6</v>
      </c>
      <c r="Y161" s="1" t="n">
        <v>46169.35414351852</v>
      </c>
    </row>
    <row r="162">
      <c r="A162" t="inlineStr">
        <is>
          <t>pay_OtFrBD445D7i5N</t>
        </is>
      </c>
      <c r="B162" t="n">
        <v>499</v>
      </c>
      <c r="C162" t="inlineStr">
        <is>
          <t>INR</t>
        </is>
      </c>
      <c r="D162" t="inlineStr">
        <is>
          <t>failed</t>
        </is>
      </c>
      <c r="E162" t="inlineStr">
        <is>
          <t>order_BAEyoRNFla2Z7v</t>
        </is>
      </c>
      <c r="G162" t="n">
        <v>0</v>
      </c>
      <c r="H162" t="inlineStr">
        <is>
          <t>card</t>
        </is>
      </c>
      <c r="I162" t="n">
        <v>0</v>
      </c>
      <c r="J162" t="n">
        <v>0</v>
      </c>
      <c r="L162" t="n">
        <v>0</v>
      </c>
      <c r="R162" t="inlineStr">
        <is>
          <t>customer894@example.com</t>
        </is>
      </c>
      <c r="S162">
        <f>+919812128393</f>
        <v/>
      </c>
      <c r="T162" t="inlineStr">
        <is>
          <t>[]</t>
        </is>
      </c>
      <c r="W162" t="inlineStr">
        <is>
          <t>BAD_REQUEST_ERROR</t>
        </is>
      </c>
      <c r="X162" t="inlineStr">
        <is>
          <t>Payment failed due to incorrect OTP</t>
        </is>
      </c>
      <c r="Y162" s="1" t="n">
        <v>46164.82952546296</v>
      </c>
    </row>
    <row r="163">
      <c r="A163" t="inlineStr">
        <is>
          <t>pay_wgeGKB8zvzk6KH</t>
        </is>
      </c>
      <c r="B163" t="n">
        <v>999</v>
      </c>
      <c r="C163" t="inlineStr">
        <is>
          <t>INR</t>
        </is>
      </c>
      <c r="D163" t="inlineStr">
        <is>
          <t>captured</t>
        </is>
      </c>
      <c r="E163" t="inlineStr">
        <is>
          <t>order_HE22Ab9TRQfN9t</t>
        </is>
      </c>
      <c r="G163" t="n">
        <v>0</v>
      </c>
      <c r="H163" t="inlineStr">
        <is>
          <t>upi</t>
        </is>
      </c>
      <c r="I163" t="n">
        <v>0</v>
      </c>
      <c r="J163" t="n">
        <v>0</v>
      </c>
      <c r="L163" t="n">
        <v>1</v>
      </c>
      <c r="R163" t="inlineStr">
        <is>
          <t>customer437@example.com</t>
        </is>
      </c>
      <c r="S163">
        <f>+919854225037</f>
        <v/>
      </c>
      <c r="T163" t="inlineStr">
        <is>
          <t>[]</t>
        </is>
      </c>
      <c r="U163" t="n">
        <v>19.98</v>
      </c>
      <c r="V163" t="n">
        <v>3.6</v>
      </c>
      <c r="Y163" s="1" t="n">
        <v>46144.21987268519</v>
      </c>
    </row>
    <row r="164">
      <c r="A164" t="inlineStr">
        <is>
          <t>pay_mfjGUwiuAheu1y</t>
        </is>
      </c>
      <c r="B164" t="n">
        <v>1499</v>
      </c>
      <c r="C164" t="inlineStr">
        <is>
          <t>INR</t>
        </is>
      </c>
      <c r="D164" t="inlineStr">
        <is>
          <t>captured</t>
        </is>
      </c>
      <c r="E164" t="inlineStr">
        <is>
          <t>order_9TcEFPYdsenEs3</t>
        </is>
      </c>
      <c r="G164" t="n">
        <v>0</v>
      </c>
      <c r="H164" t="inlineStr">
        <is>
          <t>upi</t>
        </is>
      </c>
      <c r="I164" t="n">
        <v>0</v>
      </c>
      <c r="J164" t="n">
        <v>0</v>
      </c>
      <c r="L164" t="n">
        <v>1</v>
      </c>
      <c r="R164" t="inlineStr">
        <is>
          <t>customer745@example.com</t>
        </is>
      </c>
      <c r="S164">
        <f>+919847470691</f>
        <v/>
      </c>
      <c r="T164" t="inlineStr">
        <is>
          <t>[]</t>
        </is>
      </c>
      <c r="U164" t="n">
        <v>29.98</v>
      </c>
      <c r="V164" t="n">
        <v>5.4</v>
      </c>
      <c r="Y164" s="1" t="n">
        <v>46155.13888888889</v>
      </c>
    </row>
    <row r="165">
      <c r="A165" t="inlineStr">
        <is>
          <t>pay_xMtaQANxEJnmNI</t>
        </is>
      </c>
      <c r="B165" t="n">
        <v>1499</v>
      </c>
      <c r="C165" t="inlineStr">
        <is>
          <t>INR</t>
        </is>
      </c>
      <c r="D165" t="inlineStr">
        <is>
          <t>captured</t>
        </is>
      </c>
      <c r="E165" t="inlineStr">
        <is>
          <t>order_ollYCSvYKOyIl8</t>
        </is>
      </c>
      <c r="G165" t="n">
        <v>0</v>
      </c>
      <c r="H165" t="inlineStr">
        <is>
          <t>upi</t>
        </is>
      </c>
      <c r="I165" t="n">
        <v>0</v>
      </c>
      <c r="J165" t="n">
        <v>0</v>
      </c>
      <c r="L165" t="n">
        <v>1</v>
      </c>
      <c r="R165" t="inlineStr">
        <is>
          <t>customer490@example.com</t>
        </is>
      </c>
      <c r="S165">
        <f>+919886910527</f>
        <v/>
      </c>
      <c r="T165" t="inlineStr">
        <is>
          <t>[]</t>
        </is>
      </c>
      <c r="U165" t="n">
        <v>29.98</v>
      </c>
      <c r="V165" t="n">
        <v>5.4</v>
      </c>
      <c r="Y165" s="1" t="n">
        <v>46161.02824074074</v>
      </c>
    </row>
    <row r="166">
      <c r="A166" t="inlineStr">
        <is>
          <t>pay_FAf5EwGYcAMqlE</t>
        </is>
      </c>
      <c r="B166" t="n">
        <v>1499</v>
      </c>
      <c r="C166" t="inlineStr">
        <is>
          <t>INR</t>
        </is>
      </c>
      <c r="D166" t="inlineStr">
        <is>
          <t>captured</t>
        </is>
      </c>
      <c r="E166" t="inlineStr">
        <is>
          <t>order_O8TnoWXqvTOrF7</t>
        </is>
      </c>
      <c r="G166" t="n">
        <v>0</v>
      </c>
      <c r="H166" t="inlineStr">
        <is>
          <t>upi</t>
        </is>
      </c>
      <c r="I166" t="n">
        <v>0</v>
      </c>
      <c r="J166" t="n">
        <v>0</v>
      </c>
      <c r="L166" t="n">
        <v>1</v>
      </c>
      <c r="R166" t="inlineStr">
        <is>
          <t>customer138@example.com</t>
        </is>
      </c>
      <c r="S166">
        <f>+919842781511</f>
        <v/>
      </c>
      <c r="T166" t="inlineStr">
        <is>
          <t>[]</t>
        </is>
      </c>
      <c r="U166" t="n">
        <v>29.98</v>
      </c>
      <c r="V166" t="n">
        <v>5.4</v>
      </c>
      <c r="Y166" s="1" t="n">
        <v>46170.24564814815</v>
      </c>
    </row>
    <row r="167">
      <c r="A167" t="inlineStr">
        <is>
          <t>pay_vEF37NGjxsKueD</t>
        </is>
      </c>
      <c r="B167" t="n">
        <v>1799</v>
      </c>
      <c r="C167" t="inlineStr">
        <is>
          <t>INR</t>
        </is>
      </c>
      <c r="D167" t="inlineStr">
        <is>
          <t>captured</t>
        </is>
      </c>
      <c r="E167" t="inlineStr">
        <is>
          <t>order_g52cRoHZvEPlMA</t>
        </is>
      </c>
      <c r="G167" t="n">
        <v>0</v>
      </c>
      <c r="H167" t="inlineStr">
        <is>
          <t>card</t>
        </is>
      </c>
      <c r="I167" t="n">
        <v>0</v>
      </c>
      <c r="J167" t="n">
        <v>0</v>
      </c>
      <c r="L167" t="n">
        <v>1</v>
      </c>
      <c r="R167" t="inlineStr">
        <is>
          <t>customer805@example.com</t>
        </is>
      </c>
      <c r="S167">
        <f>+919863415937</f>
        <v/>
      </c>
      <c r="T167" t="inlineStr">
        <is>
          <t>[]</t>
        </is>
      </c>
      <c r="U167" t="n">
        <v>35.98</v>
      </c>
      <c r="V167" t="n">
        <v>6.48</v>
      </c>
      <c r="Y167" s="1" t="n">
        <v>46155.52603009259</v>
      </c>
    </row>
    <row r="168">
      <c r="A168" t="inlineStr">
        <is>
          <t>pay_Uc5xXDYsHbEe1P</t>
        </is>
      </c>
      <c r="B168" t="n">
        <v>3999</v>
      </c>
      <c r="C168" t="inlineStr">
        <is>
          <t>INR</t>
        </is>
      </c>
      <c r="D168" t="inlineStr">
        <is>
          <t>captured</t>
        </is>
      </c>
      <c r="E168" t="inlineStr">
        <is>
          <t>order_v73mH6h0WULg7g</t>
        </is>
      </c>
      <c r="G168" t="n">
        <v>0</v>
      </c>
      <c r="H168" t="inlineStr">
        <is>
          <t>upi</t>
        </is>
      </c>
      <c r="I168" t="n">
        <v>0</v>
      </c>
      <c r="J168" t="n">
        <v>0</v>
      </c>
      <c r="L168" t="n">
        <v>1</v>
      </c>
      <c r="R168" t="inlineStr">
        <is>
          <t>customer436@example.com</t>
        </is>
      </c>
      <c r="S168">
        <f>+919835261667</f>
        <v/>
      </c>
      <c r="T168" t="inlineStr">
        <is>
          <t>[]</t>
        </is>
      </c>
      <c r="U168" t="n">
        <v>79.98</v>
      </c>
      <c r="V168" t="n">
        <v>14.4</v>
      </c>
      <c r="Y168" s="1" t="n">
        <v>46153.05949074074</v>
      </c>
    </row>
    <row r="169">
      <c r="A169" t="inlineStr">
        <is>
          <t>pay_bNPqEw3ARF9EK0</t>
        </is>
      </c>
      <c r="B169" t="n">
        <v>3999</v>
      </c>
      <c r="C169" t="inlineStr">
        <is>
          <t>INR</t>
        </is>
      </c>
      <c r="D169" t="inlineStr">
        <is>
          <t>captured</t>
        </is>
      </c>
      <c r="E169" t="inlineStr">
        <is>
          <t>order_fRTLa5BKYrb5qc</t>
        </is>
      </c>
      <c r="G169" t="n">
        <v>0</v>
      </c>
      <c r="H169" t="inlineStr">
        <is>
          <t>upi</t>
        </is>
      </c>
      <c r="I169" t="n">
        <v>0</v>
      </c>
      <c r="J169" t="n">
        <v>0</v>
      </c>
      <c r="L169" t="n">
        <v>1</v>
      </c>
      <c r="R169" t="inlineStr">
        <is>
          <t>customer894@example.com</t>
        </is>
      </c>
      <c r="S169">
        <f>+919815672871</f>
        <v/>
      </c>
      <c r="T169" t="inlineStr">
        <is>
          <t>[]</t>
        </is>
      </c>
      <c r="U169" t="n">
        <v>79.98</v>
      </c>
      <c r="V169" t="n">
        <v>14.4</v>
      </c>
      <c r="Y169" s="1" t="n">
        <v>46146.08611111111</v>
      </c>
    </row>
    <row r="170">
      <c r="A170" t="inlineStr">
        <is>
          <t>pay_buthzc5E2RTVsT</t>
        </is>
      </c>
      <c r="B170" t="n">
        <v>1799</v>
      </c>
      <c r="C170" t="inlineStr">
        <is>
          <t>INR</t>
        </is>
      </c>
      <c r="D170" t="inlineStr">
        <is>
          <t>captured</t>
        </is>
      </c>
      <c r="E170" t="inlineStr">
        <is>
          <t>order_EEjFXi2AqoCOJ3</t>
        </is>
      </c>
      <c r="G170" t="n">
        <v>0</v>
      </c>
      <c r="H170" t="inlineStr">
        <is>
          <t>upi</t>
        </is>
      </c>
      <c r="I170" t="n">
        <v>0</v>
      </c>
      <c r="J170" t="n">
        <v>0</v>
      </c>
      <c r="L170" t="n">
        <v>1</v>
      </c>
      <c r="R170" t="inlineStr">
        <is>
          <t>customer212@example.com</t>
        </is>
      </c>
      <c r="S170">
        <f>+919829225254</f>
        <v/>
      </c>
      <c r="T170" t="inlineStr">
        <is>
          <t>[]</t>
        </is>
      </c>
      <c r="U170" t="n">
        <v>35.98</v>
      </c>
      <c r="V170" t="n">
        <v>6.48</v>
      </c>
      <c r="Y170" s="1" t="n">
        <v>46162.67695601852</v>
      </c>
    </row>
    <row r="171">
      <c r="A171" t="inlineStr">
        <is>
          <t>pay_KEUJhAAAIwyAx8</t>
        </is>
      </c>
      <c r="B171" t="n">
        <v>1799</v>
      </c>
      <c r="C171" t="inlineStr">
        <is>
          <t>INR</t>
        </is>
      </c>
      <c r="D171" t="inlineStr">
        <is>
          <t>captured</t>
        </is>
      </c>
      <c r="E171" t="inlineStr">
        <is>
          <t>order_CDcImu4TBhUuG6</t>
        </is>
      </c>
      <c r="G171" t="n">
        <v>0</v>
      </c>
      <c r="H171" t="inlineStr">
        <is>
          <t>netbanking</t>
        </is>
      </c>
      <c r="I171" t="n">
        <v>0</v>
      </c>
      <c r="J171" t="n">
        <v>0</v>
      </c>
      <c r="L171" t="n">
        <v>1</v>
      </c>
      <c r="R171" t="inlineStr">
        <is>
          <t>customer93@example.com</t>
        </is>
      </c>
      <c r="S171">
        <f>+919869136148</f>
        <v/>
      </c>
      <c r="T171" t="inlineStr">
        <is>
          <t>[]</t>
        </is>
      </c>
      <c r="U171" t="n">
        <v>35.98</v>
      </c>
      <c r="V171" t="n">
        <v>6.48</v>
      </c>
      <c r="Y171" s="1" t="n">
        <v>46169.93576388889</v>
      </c>
    </row>
    <row r="172">
      <c r="A172" t="inlineStr">
        <is>
          <t>pay_hlYWwvYRW48AnS</t>
        </is>
      </c>
      <c r="B172" t="n">
        <v>1499</v>
      </c>
      <c r="C172" t="inlineStr">
        <is>
          <t>INR</t>
        </is>
      </c>
      <c r="D172" t="inlineStr">
        <is>
          <t>captured</t>
        </is>
      </c>
      <c r="E172" t="inlineStr">
        <is>
          <t>order_hEkhcJjdS1P44o</t>
        </is>
      </c>
      <c r="G172" t="n">
        <v>0</v>
      </c>
      <c r="H172" t="inlineStr">
        <is>
          <t>upi</t>
        </is>
      </c>
      <c r="I172" t="n">
        <v>0</v>
      </c>
      <c r="J172" t="n">
        <v>0</v>
      </c>
      <c r="L172" t="n">
        <v>1</v>
      </c>
      <c r="R172" t="inlineStr">
        <is>
          <t>customer456@example.com</t>
        </is>
      </c>
      <c r="S172">
        <f>+919899342522</f>
        <v/>
      </c>
      <c r="T172" t="inlineStr">
        <is>
          <t>[]</t>
        </is>
      </c>
      <c r="U172" t="n">
        <v>29.98</v>
      </c>
      <c r="V172" t="n">
        <v>5.4</v>
      </c>
      <c r="Y172" s="1" t="n">
        <v>46143.82763888889</v>
      </c>
    </row>
    <row r="173">
      <c r="A173" t="inlineStr">
        <is>
          <t>pay_67uLgzMNvchIks</t>
        </is>
      </c>
      <c r="B173" t="n">
        <v>1499</v>
      </c>
      <c r="C173" t="inlineStr">
        <is>
          <t>INR</t>
        </is>
      </c>
      <c r="D173" t="inlineStr">
        <is>
          <t>refunded</t>
        </is>
      </c>
      <c r="E173" t="inlineStr">
        <is>
          <t>order_35MgKAp5ThovJu</t>
        </is>
      </c>
      <c r="G173" t="n">
        <v>0</v>
      </c>
      <c r="H173" t="inlineStr">
        <is>
          <t>card</t>
        </is>
      </c>
      <c r="I173" t="n">
        <v>1499</v>
      </c>
      <c r="J173" t="n">
        <v>0</v>
      </c>
      <c r="K173" t="inlineStr">
        <is>
          <t>full</t>
        </is>
      </c>
      <c r="L173" t="n">
        <v>1</v>
      </c>
      <c r="R173" t="inlineStr">
        <is>
          <t>customer634@example.com</t>
        </is>
      </c>
      <c r="S173">
        <f>+919829977044</f>
        <v/>
      </c>
      <c r="T173" t="inlineStr">
        <is>
          <t>[]</t>
        </is>
      </c>
      <c r="U173" t="n">
        <v>29.98</v>
      </c>
      <c r="V173" t="n">
        <v>5.4</v>
      </c>
      <c r="Y173" s="1" t="n">
        <v>46171.16106481481</v>
      </c>
    </row>
    <row r="174">
      <c r="A174" t="inlineStr">
        <is>
          <t>pay_wdZNk4um8Zh49Y</t>
        </is>
      </c>
      <c r="B174" t="n">
        <v>999</v>
      </c>
      <c r="C174" t="inlineStr">
        <is>
          <t>INR</t>
        </is>
      </c>
      <c r="D174" t="inlineStr">
        <is>
          <t>captured</t>
        </is>
      </c>
      <c r="E174" t="inlineStr">
        <is>
          <t>order_4QBSsRnLKB2SkY</t>
        </is>
      </c>
      <c r="G174" t="n">
        <v>0</v>
      </c>
      <c r="H174" t="inlineStr">
        <is>
          <t>upi</t>
        </is>
      </c>
      <c r="I174" t="n">
        <v>0</v>
      </c>
      <c r="J174" t="n">
        <v>0</v>
      </c>
      <c r="L174" t="n">
        <v>1</v>
      </c>
      <c r="R174" t="inlineStr">
        <is>
          <t>customer526@example.com</t>
        </is>
      </c>
      <c r="S174">
        <f>+919880687441</f>
        <v/>
      </c>
      <c r="T174" t="inlineStr">
        <is>
          <t>[]</t>
        </is>
      </c>
      <c r="U174" t="n">
        <v>19.98</v>
      </c>
      <c r="V174" t="n">
        <v>3.6</v>
      </c>
      <c r="Y174" s="1" t="n">
        <v>46168.01877314815</v>
      </c>
    </row>
    <row r="175">
      <c r="A175" t="inlineStr">
        <is>
          <t>pay_WfxJOvqM17GsJ3</t>
        </is>
      </c>
      <c r="B175" t="n">
        <v>1499</v>
      </c>
      <c r="C175" t="inlineStr">
        <is>
          <t>INR</t>
        </is>
      </c>
      <c r="D175" t="inlineStr">
        <is>
          <t>captured</t>
        </is>
      </c>
      <c r="E175" t="inlineStr">
        <is>
          <t>order_0s9VyWWIRU70LS</t>
        </is>
      </c>
      <c r="G175" t="n">
        <v>0</v>
      </c>
      <c r="H175" t="inlineStr">
        <is>
          <t>upi</t>
        </is>
      </c>
      <c r="I175" t="n">
        <v>0</v>
      </c>
      <c r="J175" t="n">
        <v>0</v>
      </c>
      <c r="L175" t="n">
        <v>1</v>
      </c>
      <c r="R175" t="inlineStr">
        <is>
          <t>customer567@example.com</t>
        </is>
      </c>
      <c r="S175">
        <f>+919833367144</f>
        <v/>
      </c>
      <c r="T175" t="inlineStr">
        <is>
          <t>[]</t>
        </is>
      </c>
      <c r="U175" t="n">
        <v>29.98</v>
      </c>
      <c r="V175" t="n">
        <v>5.4</v>
      </c>
      <c r="Y175" s="1" t="n">
        <v>46159.56670138889</v>
      </c>
    </row>
    <row r="176">
      <c r="A176" t="inlineStr">
        <is>
          <t>pay_5VHWJhpg2tzHgR</t>
        </is>
      </c>
      <c r="B176" t="n">
        <v>1499</v>
      </c>
      <c r="C176" t="inlineStr">
        <is>
          <t>INR</t>
        </is>
      </c>
      <c r="D176" t="inlineStr">
        <is>
          <t>failed</t>
        </is>
      </c>
      <c r="E176" t="inlineStr">
        <is>
          <t>order_j3OHskBBlsiuow</t>
        </is>
      </c>
      <c r="G176" t="n">
        <v>0</v>
      </c>
      <c r="H176" t="inlineStr">
        <is>
          <t>card</t>
        </is>
      </c>
      <c r="I176" t="n">
        <v>0</v>
      </c>
      <c r="J176" t="n">
        <v>0</v>
      </c>
      <c r="L176" t="n">
        <v>0</v>
      </c>
      <c r="R176" t="inlineStr">
        <is>
          <t>customer815@example.com</t>
        </is>
      </c>
      <c r="S176">
        <f>+919866572190</f>
        <v/>
      </c>
      <c r="T176" t="inlineStr">
        <is>
          <t>[]</t>
        </is>
      </c>
      <c r="W176" t="inlineStr">
        <is>
          <t>BAD_REQUEST_ERROR</t>
        </is>
      </c>
      <c r="X176" t="inlineStr">
        <is>
          <t>Payment failed due to incorrect OTP</t>
        </is>
      </c>
      <c r="Y176" s="1" t="n">
        <v>46148.27075231481</v>
      </c>
    </row>
    <row r="177">
      <c r="A177" t="inlineStr">
        <is>
          <t>pay_vjZCYvtFU2vQz1</t>
        </is>
      </c>
      <c r="B177" t="n">
        <v>1499</v>
      </c>
      <c r="C177" t="inlineStr">
        <is>
          <t>INR</t>
        </is>
      </c>
      <c r="D177" t="inlineStr">
        <is>
          <t>captured</t>
        </is>
      </c>
      <c r="E177" t="inlineStr">
        <is>
          <t>order_j3OHskBBlsiuow</t>
        </is>
      </c>
      <c r="G177" t="n">
        <v>0</v>
      </c>
      <c r="H177" t="inlineStr">
        <is>
          <t>card</t>
        </is>
      </c>
      <c r="I177" t="n">
        <v>0</v>
      </c>
      <c r="J177" t="n">
        <v>0</v>
      </c>
      <c r="L177" t="n">
        <v>1</v>
      </c>
      <c r="R177" t="inlineStr">
        <is>
          <t>customer779@example.com</t>
        </is>
      </c>
      <c r="S177">
        <f>+919884344371</f>
        <v/>
      </c>
      <c r="T177" t="inlineStr">
        <is>
          <t>[]</t>
        </is>
      </c>
      <c r="U177" t="n">
        <v>29.98</v>
      </c>
      <c r="V177" t="n">
        <v>5.4</v>
      </c>
      <c r="Y177" s="1" t="n">
        <v>46148.27245370371</v>
      </c>
    </row>
    <row r="178">
      <c r="A178" t="inlineStr">
        <is>
          <t>pay_7BMZaonSU5x2j0</t>
        </is>
      </c>
      <c r="B178" t="n">
        <v>1799</v>
      </c>
      <c r="C178" t="inlineStr">
        <is>
          <t>INR</t>
        </is>
      </c>
      <c r="D178" t="inlineStr">
        <is>
          <t>captured</t>
        </is>
      </c>
      <c r="E178" t="inlineStr">
        <is>
          <t>order_Bie1MROAc5r4l4</t>
        </is>
      </c>
      <c r="G178" t="n">
        <v>0</v>
      </c>
      <c r="H178" t="inlineStr">
        <is>
          <t>netbanking</t>
        </is>
      </c>
      <c r="I178" t="n">
        <v>0</v>
      </c>
      <c r="J178" t="n">
        <v>0</v>
      </c>
      <c r="L178" t="n">
        <v>1</v>
      </c>
      <c r="R178" t="inlineStr">
        <is>
          <t>customer879@example.com</t>
        </is>
      </c>
      <c r="S178">
        <f>+919887331370</f>
        <v/>
      </c>
      <c r="T178" t="inlineStr">
        <is>
          <t>[]</t>
        </is>
      </c>
      <c r="U178" t="n">
        <v>35.98</v>
      </c>
      <c r="V178" t="n">
        <v>6.48</v>
      </c>
      <c r="Y178" s="1" t="n">
        <v>46169.95756944444</v>
      </c>
    </row>
    <row r="179">
      <c r="A179" t="inlineStr">
        <is>
          <t>pay_8RIIaDZyJbE4Df</t>
        </is>
      </c>
      <c r="B179" t="n">
        <v>3999</v>
      </c>
      <c r="C179" t="inlineStr">
        <is>
          <t>INR</t>
        </is>
      </c>
      <c r="D179" t="inlineStr">
        <is>
          <t>captured</t>
        </is>
      </c>
      <c r="E179" t="inlineStr">
        <is>
          <t>order_YaZotIW5cBhMiL</t>
        </is>
      </c>
      <c r="G179" t="n">
        <v>0</v>
      </c>
      <c r="H179" t="inlineStr">
        <is>
          <t>netbanking</t>
        </is>
      </c>
      <c r="I179" t="n">
        <v>0</v>
      </c>
      <c r="J179" t="n">
        <v>0</v>
      </c>
      <c r="L179" t="n">
        <v>1</v>
      </c>
      <c r="R179" t="inlineStr">
        <is>
          <t>customer410@example.com</t>
        </is>
      </c>
      <c r="S179">
        <f>+919853203634</f>
        <v/>
      </c>
      <c r="T179" t="inlineStr">
        <is>
          <t>[]</t>
        </is>
      </c>
      <c r="U179" t="n">
        <v>79.98</v>
      </c>
      <c r="V179" t="n">
        <v>14.4</v>
      </c>
      <c r="Y179" s="1" t="n">
        <v>46162.31990740741</v>
      </c>
    </row>
    <row r="180">
      <c r="A180" t="inlineStr">
        <is>
          <t>pay_9Z7nnbqdGsPILs</t>
        </is>
      </c>
      <c r="B180" t="n">
        <v>999</v>
      </c>
      <c r="C180" t="inlineStr">
        <is>
          <t>INR</t>
        </is>
      </c>
      <c r="D180" t="inlineStr">
        <is>
          <t>captured</t>
        </is>
      </c>
      <c r="E180" t="inlineStr">
        <is>
          <t>order_Be4ZIBtLv87TZe</t>
        </is>
      </c>
      <c r="G180" t="n">
        <v>0</v>
      </c>
      <c r="H180" t="inlineStr">
        <is>
          <t>card</t>
        </is>
      </c>
      <c r="I180" t="n">
        <v>0</v>
      </c>
      <c r="J180" t="n">
        <v>0</v>
      </c>
      <c r="L180" t="n">
        <v>1</v>
      </c>
      <c r="R180" t="inlineStr">
        <is>
          <t>customer753@example.com</t>
        </is>
      </c>
      <c r="S180">
        <f>+919887032336</f>
        <v/>
      </c>
      <c r="T180" t="inlineStr">
        <is>
          <t>[]</t>
        </is>
      </c>
      <c r="U180" t="n">
        <v>19.98</v>
      </c>
      <c r="V180" t="n">
        <v>3.6</v>
      </c>
      <c r="Y180" s="1" t="n">
        <v>46154.30371527778</v>
      </c>
    </row>
    <row r="181">
      <c r="A181" t="inlineStr">
        <is>
          <t>pay_gx9H7pb6qIwJ56</t>
        </is>
      </c>
      <c r="B181" t="n">
        <v>1499</v>
      </c>
      <c r="C181" t="inlineStr">
        <is>
          <t>INR</t>
        </is>
      </c>
      <c r="D181" t="inlineStr">
        <is>
          <t>failed</t>
        </is>
      </c>
      <c r="E181" t="inlineStr">
        <is>
          <t>order_K4yU62uSYiXb01</t>
        </is>
      </c>
      <c r="G181" t="n">
        <v>0</v>
      </c>
      <c r="H181" t="inlineStr">
        <is>
          <t>card</t>
        </is>
      </c>
      <c r="I181" t="n">
        <v>0</v>
      </c>
      <c r="J181" t="n">
        <v>0</v>
      </c>
      <c r="L181" t="n">
        <v>0</v>
      </c>
      <c r="R181" t="inlineStr">
        <is>
          <t>customer899@example.com</t>
        </is>
      </c>
      <c r="S181">
        <f>+919887265704</f>
        <v/>
      </c>
      <c r="T181" t="inlineStr">
        <is>
          <t>[]</t>
        </is>
      </c>
      <c r="W181" t="inlineStr">
        <is>
          <t>BAD_REQUEST_ERROR</t>
        </is>
      </c>
      <c r="X181" t="inlineStr">
        <is>
          <t>Payment failed due to incorrect OTP</t>
        </is>
      </c>
      <c r="Y181" s="1" t="n">
        <v>46148.40351851852</v>
      </c>
    </row>
    <row r="182">
      <c r="A182" t="inlineStr">
        <is>
          <t>pay_HrG8TP0zI0m1bH</t>
        </is>
      </c>
      <c r="B182" t="n">
        <v>1499</v>
      </c>
      <c r="C182" t="inlineStr">
        <is>
          <t>INR</t>
        </is>
      </c>
      <c r="D182" t="inlineStr">
        <is>
          <t>failed</t>
        </is>
      </c>
      <c r="E182" t="inlineStr">
        <is>
          <t>order_bsbddIGCKuHpg7</t>
        </is>
      </c>
      <c r="G182" t="n">
        <v>0</v>
      </c>
      <c r="H182" t="inlineStr">
        <is>
          <t>upi</t>
        </is>
      </c>
      <c r="I182" t="n">
        <v>0</v>
      </c>
      <c r="J182" t="n">
        <v>0</v>
      </c>
      <c r="L182" t="n">
        <v>0</v>
      </c>
      <c r="R182" t="inlineStr">
        <is>
          <t>customer589@example.com</t>
        </is>
      </c>
      <c r="S182">
        <f>+919817708415</f>
        <v/>
      </c>
      <c r="T182" t="inlineStr">
        <is>
          <t>[]</t>
        </is>
      </c>
      <c r="W182" t="inlineStr">
        <is>
          <t>BAD_REQUEST_ERROR</t>
        </is>
      </c>
      <c r="X182" t="inlineStr">
        <is>
          <t>Payment was not completed on time</t>
        </is>
      </c>
      <c r="Y182" s="1" t="n">
        <v>46143.89484953704</v>
      </c>
    </row>
    <row r="183">
      <c r="A183" t="inlineStr">
        <is>
          <t>pay_qogB5NoogKhA95</t>
        </is>
      </c>
      <c r="B183" t="n">
        <v>1499</v>
      </c>
      <c r="C183" t="inlineStr">
        <is>
          <t>INR</t>
        </is>
      </c>
      <c r="D183" t="inlineStr">
        <is>
          <t>refunded</t>
        </is>
      </c>
      <c r="E183" t="inlineStr">
        <is>
          <t>order_z0slQZHhBKQSS9</t>
        </is>
      </c>
      <c r="G183" t="n">
        <v>0</v>
      </c>
      <c r="H183" t="inlineStr">
        <is>
          <t>upi</t>
        </is>
      </c>
      <c r="I183" t="n">
        <v>1499</v>
      </c>
      <c r="J183" t="n">
        <v>0</v>
      </c>
      <c r="K183" t="inlineStr">
        <is>
          <t>full</t>
        </is>
      </c>
      <c r="L183" t="n">
        <v>1</v>
      </c>
      <c r="R183" t="inlineStr">
        <is>
          <t>customer815@example.com</t>
        </is>
      </c>
      <c r="S183">
        <f>+919863995382</f>
        <v/>
      </c>
      <c r="T183" t="inlineStr">
        <is>
          <t>[]</t>
        </is>
      </c>
      <c r="U183" t="n">
        <v>29.98</v>
      </c>
      <c r="V183" t="n">
        <v>5.4</v>
      </c>
      <c r="Y183" s="1" t="n">
        <v>46164.32956018519</v>
      </c>
    </row>
    <row r="184">
      <c r="A184" t="inlineStr">
        <is>
          <t>pay_1mv9esDUN5Paec</t>
        </is>
      </c>
      <c r="B184" t="n">
        <v>1799</v>
      </c>
      <c r="C184" t="inlineStr">
        <is>
          <t>INR</t>
        </is>
      </c>
      <c r="D184" t="inlineStr">
        <is>
          <t>captured</t>
        </is>
      </c>
      <c r="E184" t="inlineStr">
        <is>
          <t>order_LAlCI39IunNTpQ</t>
        </is>
      </c>
      <c r="G184" t="n">
        <v>0</v>
      </c>
      <c r="H184" t="inlineStr">
        <is>
          <t>upi</t>
        </is>
      </c>
      <c r="I184" t="n">
        <v>0</v>
      </c>
      <c r="J184" t="n">
        <v>0</v>
      </c>
      <c r="L184" t="n">
        <v>1</v>
      </c>
      <c r="R184" t="inlineStr">
        <is>
          <t>customer443@example.com</t>
        </is>
      </c>
      <c r="S184">
        <f>+919835222447</f>
        <v/>
      </c>
      <c r="T184" t="inlineStr">
        <is>
          <t>[]</t>
        </is>
      </c>
      <c r="U184" t="n">
        <v>35.98</v>
      </c>
      <c r="V184" t="n">
        <v>6.48</v>
      </c>
      <c r="Y184" s="1" t="n">
        <v>46161.32960648148</v>
      </c>
    </row>
    <row r="185">
      <c r="A185" t="inlineStr">
        <is>
          <t>pay_YgWyGAB944TRic</t>
        </is>
      </c>
      <c r="B185" t="n">
        <v>3999</v>
      </c>
      <c r="C185" t="inlineStr">
        <is>
          <t>INR</t>
        </is>
      </c>
      <c r="D185" t="inlineStr">
        <is>
          <t>captured</t>
        </is>
      </c>
      <c r="E185" t="inlineStr">
        <is>
          <t>order_6hUvumOl5m367U</t>
        </is>
      </c>
      <c r="G185" t="n">
        <v>0</v>
      </c>
      <c r="H185" t="inlineStr">
        <is>
          <t>card</t>
        </is>
      </c>
      <c r="I185" t="n">
        <v>0</v>
      </c>
      <c r="J185" t="n">
        <v>0</v>
      </c>
      <c r="L185" t="n">
        <v>1</v>
      </c>
      <c r="R185" t="inlineStr">
        <is>
          <t>customer851@example.com</t>
        </is>
      </c>
      <c r="S185">
        <f>+919894645047</f>
        <v/>
      </c>
      <c r="T185" t="inlineStr">
        <is>
          <t>[]</t>
        </is>
      </c>
      <c r="U185" t="n">
        <v>79.98</v>
      </c>
      <c r="V185" t="n">
        <v>14.4</v>
      </c>
      <c r="Y185" s="1" t="n">
        <v>46144.31265046296</v>
      </c>
    </row>
    <row r="186">
      <c r="A186" t="inlineStr">
        <is>
          <t>pay_3t0TJzJegthdST</t>
        </is>
      </c>
      <c r="B186" t="n">
        <v>3999</v>
      </c>
      <c r="C186" t="inlineStr">
        <is>
          <t>INR</t>
        </is>
      </c>
      <c r="D186" t="inlineStr">
        <is>
          <t>captured</t>
        </is>
      </c>
      <c r="E186" t="inlineStr">
        <is>
          <t>order_7fUouv9dAh9ERG</t>
        </is>
      </c>
      <c r="G186" t="n">
        <v>0</v>
      </c>
      <c r="H186" t="inlineStr">
        <is>
          <t>upi</t>
        </is>
      </c>
      <c r="I186" t="n">
        <v>0</v>
      </c>
      <c r="J186" t="n">
        <v>0</v>
      </c>
      <c r="L186" t="n">
        <v>1</v>
      </c>
      <c r="R186" t="inlineStr">
        <is>
          <t>customer631@example.com</t>
        </is>
      </c>
      <c r="S186">
        <f>+919814302963</f>
        <v/>
      </c>
      <c r="T186" t="inlineStr">
        <is>
          <t>[]</t>
        </is>
      </c>
      <c r="U186" t="n">
        <v>79.98</v>
      </c>
      <c r="V186" t="n">
        <v>14.4</v>
      </c>
      <c r="Y186" s="1" t="n">
        <v>46173.78452546296</v>
      </c>
    </row>
    <row r="187">
      <c r="A187" t="inlineStr">
        <is>
          <t>pay_JNKWwa8XhgnOib</t>
        </is>
      </c>
      <c r="B187" t="n">
        <v>499</v>
      </c>
      <c r="C187" t="inlineStr">
        <is>
          <t>INR</t>
        </is>
      </c>
      <c r="D187" t="inlineStr">
        <is>
          <t>failed</t>
        </is>
      </c>
      <c r="E187" t="inlineStr">
        <is>
          <t>order_h2GMAovNvC9B7C</t>
        </is>
      </c>
      <c r="G187" t="n">
        <v>0</v>
      </c>
      <c r="H187" t="inlineStr">
        <is>
          <t>upi</t>
        </is>
      </c>
      <c r="I187" t="n">
        <v>0</v>
      </c>
      <c r="J187" t="n">
        <v>0</v>
      </c>
      <c r="L187" t="n">
        <v>0</v>
      </c>
      <c r="R187" t="inlineStr">
        <is>
          <t>customer507@example.com</t>
        </is>
      </c>
      <c r="S187">
        <f>+919831517034</f>
        <v/>
      </c>
      <c r="T187" t="inlineStr">
        <is>
          <t>[]</t>
        </is>
      </c>
      <c r="W187" t="inlineStr">
        <is>
          <t>BAD_REQUEST_ERROR</t>
        </is>
      </c>
      <c r="X187" t="inlineStr">
        <is>
          <t>Payment was not completed on time</t>
        </is>
      </c>
      <c r="Y187" s="1" t="n">
        <v>46153.00020833333</v>
      </c>
    </row>
    <row r="188">
      <c r="A188" t="inlineStr">
        <is>
          <t>pay_hFIhtMPMMxebZ1</t>
        </is>
      </c>
      <c r="B188" t="n">
        <v>1499</v>
      </c>
      <c r="C188" t="inlineStr">
        <is>
          <t>INR</t>
        </is>
      </c>
      <c r="D188" t="inlineStr">
        <is>
          <t>failed</t>
        </is>
      </c>
      <c r="E188" t="inlineStr">
        <is>
          <t>order_maqpuzwubZTEao</t>
        </is>
      </c>
      <c r="G188" t="n">
        <v>0</v>
      </c>
      <c r="H188" t="inlineStr">
        <is>
          <t>upi</t>
        </is>
      </c>
      <c r="I188" t="n">
        <v>0</v>
      </c>
      <c r="J188" t="n">
        <v>0</v>
      </c>
      <c r="L188" t="n">
        <v>0</v>
      </c>
      <c r="R188" t="inlineStr">
        <is>
          <t>customer305@example.com</t>
        </is>
      </c>
      <c r="S188">
        <f>+919820201281</f>
        <v/>
      </c>
      <c r="T188" t="inlineStr">
        <is>
          <t>[]</t>
        </is>
      </c>
      <c r="W188" t="inlineStr">
        <is>
          <t>BAD_REQUEST_ERROR</t>
        </is>
      </c>
      <c r="X188" t="inlineStr">
        <is>
          <t>Payment was not completed on time</t>
        </is>
      </c>
      <c r="Y188" s="1" t="n">
        <v>46160.75505787037</v>
      </c>
    </row>
    <row r="189">
      <c r="A189" t="inlineStr">
        <is>
          <t>pay_mzhzpzAGk1jPiW</t>
        </is>
      </c>
      <c r="B189" t="n">
        <v>1499</v>
      </c>
      <c r="C189" t="inlineStr">
        <is>
          <t>INR</t>
        </is>
      </c>
      <c r="D189" t="inlineStr">
        <is>
          <t>captured</t>
        </is>
      </c>
      <c r="E189" t="inlineStr">
        <is>
          <t>order_maqpuzwubZTEao</t>
        </is>
      </c>
      <c r="G189" t="n">
        <v>0</v>
      </c>
      <c r="H189" t="inlineStr">
        <is>
          <t>upi</t>
        </is>
      </c>
      <c r="I189" t="n">
        <v>0</v>
      </c>
      <c r="J189" t="n">
        <v>0</v>
      </c>
      <c r="L189" t="n">
        <v>1</v>
      </c>
      <c r="R189" t="inlineStr">
        <is>
          <t>customer713@example.com</t>
        </is>
      </c>
      <c r="S189">
        <f>+919838153383</f>
        <v/>
      </c>
      <c r="T189" t="inlineStr">
        <is>
          <t>[]</t>
        </is>
      </c>
      <c r="U189" t="n">
        <v>29.98</v>
      </c>
      <c r="V189" t="n">
        <v>5.4</v>
      </c>
      <c r="Y189" s="1" t="n">
        <v>46160.75980324074</v>
      </c>
    </row>
    <row r="190">
      <c r="A190" t="inlineStr">
        <is>
          <t>pay_rvtUEXaimwyx7B</t>
        </is>
      </c>
      <c r="B190" t="n">
        <v>1499</v>
      </c>
      <c r="C190" t="inlineStr">
        <is>
          <t>INR</t>
        </is>
      </c>
      <c r="D190" t="inlineStr">
        <is>
          <t>failed</t>
        </is>
      </c>
      <c r="E190" t="inlineStr">
        <is>
          <t>order_wbDHtgEekBvFGy</t>
        </is>
      </c>
      <c r="G190" t="n">
        <v>0</v>
      </c>
      <c r="H190" t="inlineStr">
        <is>
          <t>card</t>
        </is>
      </c>
      <c r="I190" t="n">
        <v>0</v>
      </c>
      <c r="J190" t="n">
        <v>0</v>
      </c>
      <c r="L190" t="n">
        <v>0</v>
      </c>
      <c r="R190" t="inlineStr">
        <is>
          <t>customer590@example.com</t>
        </is>
      </c>
      <c r="S190">
        <f>+919879706529</f>
        <v/>
      </c>
      <c r="T190" t="inlineStr">
        <is>
          <t>[]</t>
        </is>
      </c>
      <c r="W190" t="inlineStr">
        <is>
          <t>BAD_REQUEST_ERROR</t>
        </is>
      </c>
      <c r="X190" t="inlineStr">
        <is>
          <t>Card declined by bank</t>
        </is>
      </c>
      <c r="Y190" s="1" t="n">
        <v>46145.0919212963</v>
      </c>
    </row>
    <row r="191">
      <c r="A191" t="inlineStr">
        <is>
          <t>pay_H6D19FQpeVgEne</t>
        </is>
      </c>
      <c r="B191" t="n">
        <v>2499</v>
      </c>
      <c r="C191" t="inlineStr">
        <is>
          <t>INR</t>
        </is>
      </c>
      <c r="D191" t="inlineStr">
        <is>
          <t>captured</t>
        </is>
      </c>
      <c r="E191" t="inlineStr">
        <is>
          <t>order_oQSi9J3tzExFmG</t>
        </is>
      </c>
      <c r="G191" t="n">
        <v>0</v>
      </c>
      <c r="H191" t="inlineStr">
        <is>
          <t>upi</t>
        </is>
      </c>
      <c r="I191" t="n">
        <v>0</v>
      </c>
      <c r="J191" t="n">
        <v>0</v>
      </c>
      <c r="L191" t="n">
        <v>1</v>
      </c>
      <c r="R191" t="inlineStr">
        <is>
          <t>customer898@example.com</t>
        </is>
      </c>
      <c r="S191">
        <f>+919874150265</f>
        <v/>
      </c>
      <c r="T191" t="inlineStr">
        <is>
          <t>[]</t>
        </is>
      </c>
      <c r="U191" t="n">
        <v>49.98</v>
      </c>
      <c r="V191" t="n">
        <v>9</v>
      </c>
      <c r="Y191" s="1" t="n">
        <v>46171.87483796296</v>
      </c>
    </row>
    <row r="192">
      <c r="A192" t="inlineStr">
        <is>
          <t>pay_9eyBpU4iF73BgC</t>
        </is>
      </c>
      <c r="B192" t="n">
        <v>2499</v>
      </c>
      <c r="C192" t="inlineStr">
        <is>
          <t>INR</t>
        </is>
      </c>
      <c r="D192" t="inlineStr">
        <is>
          <t>failed</t>
        </is>
      </c>
      <c r="E192" t="inlineStr">
        <is>
          <t>order_7Kd2koiFKCDiSH</t>
        </is>
      </c>
      <c r="G192" t="n">
        <v>0</v>
      </c>
      <c r="H192" t="inlineStr">
        <is>
          <t>netbanking</t>
        </is>
      </c>
      <c r="I192" t="n">
        <v>0</v>
      </c>
      <c r="J192" t="n">
        <v>0</v>
      </c>
      <c r="L192" t="n">
        <v>0</v>
      </c>
      <c r="R192" t="inlineStr">
        <is>
          <t>customer531@example.com</t>
        </is>
      </c>
      <c r="S192">
        <f>+919860843714</f>
        <v/>
      </c>
      <c r="T192" t="inlineStr">
        <is>
          <t>[]</t>
        </is>
      </c>
      <c r="W192" t="inlineStr">
        <is>
          <t>BAD_REQUEST_ERROR</t>
        </is>
      </c>
      <c r="X192" t="inlineStr">
        <is>
          <t>Bank server unavailable</t>
        </is>
      </c>
      <c r="Y192" s="1" t="n">
        <v>46156.80123842593</v>
      </c>
    </row>
    <row r="193">
      <c r="A193" t="inlineStr">
        <is>
          <t>pay_Def9jTgouOV7Gg</t>
        </is>
      </c>
      <c r="B193" t="n">
        <v>2499</v>
      </c>
      <c r="C193" t="inlineStr">
        <is>
          <t>INR</t>
        </is>
      </c>
      <c r="D193" t="inlineStr">
        <is>
          <t>captured</t>
        </is>
      </c>
      <c r="E193" t="inlineStr">
        <is>
          <t>order_7Kd2koiFKCDiSH</t>
        </is>
      </c>
      <c r="G193" t="n">
        <v>0</v>
      </c>
      <c r="H193" t="inlineStr">
        <is>
          <t>netbanking</t>
        </is>
      </c>
      <c r="I193" t="n">
        <v>0</v>
      </c>
      <c r="J193" t="n">
        <v>0</v>
      </c>
      <c r="L193" t="n">
        <v>1</v>
      </c>
      <c r="R193" t="inlineStr">
        <is>
          <t>customer715@example.com</t>
        </is>
      </c>
      <c r="S193">
        <f>+919814598293</f>
        <v/>
      </c>
      <c r="T193" t="inlineStr">
        <is>
          <t>[]</t>
        </is>
      </c>
      <c r="U193" t="n">
        <v>49.98</v>
      </c>
      <c r="V193" t="n">
        <v>9</v>
      </c>
      <c r="Y193" s="1" t="n">
        <v>46156.8016087963</v>
      </c>
    </row>
    <row r="194">
      <c r="A194" t="inlineStr">
        <is>
          <t>pay_pEnQaiVQ7ekJm4</t>
        </is>
      </c>
      <c r="B194" t="n">
        <v>999</v>
      </c>
      <c r="C194" t="inlineStr">
        <is>
          <t>INR</t>
        </is>
      </c>
      <c r="D194" t="inlineStr">
        <is>
          <t>failed</t>
        </is>
      </c>
      <c r="E194" t="inlineStr">
        <is>
          <t>order_FDUZfufyuoKIcu</t>
        </is>
      </c>
      <c r="G194" t="n">
        <v>0</v>
      </c>
      <c r="H194" t="inlineStr">
        <is>
          <t>card</t>
        </is>
      </c>
      <c r="I194" t="n">
        <v>0</v>
      </c>
      <c r="J194" t="n">
        <v>0</v>
      </c>
      <c r="L194" t="n">
        <v>0</v>
      </c>
      <c r="R194" t="inlineStr">
        <is>
          <t>customer97@example.com</t>
        </is>
      </c>
      <c r="S194">
        <f>+919855138388</f>
        <v/>
      </c>
      <c r="T194" t="inlineStr">
        <is>
          <t>[]</t>
        </is>
      </c>
      <c r="W194" t="inlineStr">
        <is>
          <t>BAD_REQUEST_ERROR</t>
        </is>
      </c>
      <c r="X194" t="inlineStr">
        <is>
          <t>Card declined by bank</t>
        </is>
      </c>
      <c r="Y194" s="1" t="n">
        <v>46168.0471875</v>
      </c>
    </row>
    <row r="195">
      <c r="A195" t="inlineStr">
        <is>
          <t>pay_dQCxLAd0Kaj1qH</t>
        </is>
      </c>
      <c r="B195" t="n">
        <v>2499</v>
      </c>
      <c r="C195" t="inlineStr">
        <is>
          <t>INR</t>
        </is>
      </c>
      <c r="D195" t="inlineStr">
        <is>
          <t>captured</t>
        </is>
      </c>
      <c r="E195" t="inlineStr">
        <is>
          <t>order_lmAFcgldTrTxyD</t>
        </is>
      </c>
      <c r="G195" t="n">
        <v>0</v>
      </c>
      <c r="H195" t="inlineStr">
        <is>
          <t>upi</t>
        </is>
      </c>
      <c r="I195" t="n">
        <v>0</v>
      </c>
      <c r="J195" t="n">
        <v>0</v>
      </c>
      <c r="L195" t="n">
        <v>1</v>
      </c>
      <c r="R195" t="inlineStr">
        <is>
          <t>customer511@example.com</t>
        </is>
      </c>
      <c r="S195">
        <f>+919872714993</f>
        <v/>
      </c>
      <c r="T195" t="inlineStr">
        <is>
          <t>[]</t>
        </is>
      </c>
      <c r="U195" t="n">
        <v>49.98</v>
      </c>
      <c r="V195" t="n">
        <v>9</v>
      </c>
      <c r="Y195" s="1" t="n">
        <v>46172.54643518518</v>
      </c>
    </row>
    <row r="196">
      <c r="A196" t="inlineStr">
        <is>
          <t>pay_BQjwWQKgnpbNJ5</t>
        </is>
      </c>
      <c r="B196" t="n">
        <v>499</v>
      </c>
      <c r="C196" t="inlineStr">
        <is>
          <t>INR</t>
        </is>
      </c>
      <c r="D196" t="inlineStr">
        <is>
          <t>captured</t>
        </is>
      </c>
      <c r="E196" t="inlineStr">
        <is>
          <t>order_hib1xYouisQxtK</t>
        </is>
      </c>
      <c r="G196" t="n">
        <v>0</v>
      </c>
      <c r="H196" t="inlineStr">
        <is>
          <t>card</t>
        </is>
      </c>
      <c r="I196" t="n">
        <v>0</v>
      </c>
      <c r="J196" t="n">
        <v>0</v>
      </c>
      <c r="L196" t="n">
        <v>1</v>
      </c>
      <c r="R196" t="inlineStr">
        <is>
          <t>customer568@example.com</t>
        </is>
      </c>
      <c r="S196">
        <f>+919866505165</f>
        <v/>
      </c>
      <c r="T196" t="inlineStr">
        <is>
          <t>[]</t>
        </is>
      </c>
      <c r="U196" t="n">
        <v>9.98</v>
      </c>
      <c r="V196" t="n">
        <v>1.8</v>
      </c>
      <c r="Y196" s="1" t="n">
        <v>46173.5753125</v>
      </c>
    </row>
    <row r="197">
      <c r="A197" t="inlineStr">
        <is>
          <t>pay_xGbjvQfWl09478</t>
        </is>
      </c>
      <c r="B197" t="n">
        <v>499</v>
      </c>
      <c r="C197" t="inlineStr">
        <is>
          <t>INR</t>
        </is>
      </c>
      <c r="D197" t="inlineStr">
        <is>
          <t>captured</t>
        </is>
      </c>
      <c r="E197" t="inlineStr">
        <is>
          <t>order_vbd6yt7fbHwpjy</t>
        </is>
      </c>
      <c r="G197" t="n">
        <v>0</v>
      </c>
      <c r="H197" t="inlineStr">
        <is>
          <t>card</t>
        </is>
      </c>
      <c r="I197" t="n">
        <v>0</v>
      </c>
      <c r="J197" t="n">
        <v>0</v>
      </c>
      <c r="L197" t="n">
        <v>1</v>
      </c>
      <c r="R197" t="inlineStr">
        <is>
          <t>customer276@example.com</t>
        </is>
      </c>
      <c r="S197">
        <f>+919872205780</f>
        <v/>
      </c>
      <c r="T197" t="inlineStr">
        <is>
          <t>[]</t>
        </is>
      </c>
      <c r="U197" t="n">
        <v>9.98</v>
      </c>
      <c r="V197" t="n">
        <v>1.8</v>
      </c>
      <c r="Y197" s="1" t="n">
        <v>46165.76768518519</v>
      </c>
    </row>
    <row r="198">
      <c r="A198" t="inlineStr">
        <is>
          <t>pay_Ve1H6EfRk9H3Eu</t>
        </is>
      </c>
      <c r="B198" t="n">
        <v>1499</v>
      </c>
      <c r="C198" t="inlineStr">
        <is>
          <t>INR</t>
        </is>
      </c>
      <c r="D198" t="inlineStr">
        <is>
          <t>failed</t>
        </is>
      </c>
      <c r="E198" t="inlineStr">
        <is>
          <t>order_i1RadI7M2gJluj</t>
        </is>
      </c>
      <c r="G198" t="n">
        <v>0</v>
      </c>
      <c r="H198" t="inlineStr">
        <is>
          <t>netbanking</t>
        </is>
      </c>
      <c r="I198" t="n">
        <v>0</v>
      </c>
      <c r="J198" t="n">
        <v>0</v>
      </c>
      <c r="L198" t="n">
        <v>0</v>
      </c>
      <c r="R198" t="inlineStr">
        <is>
          <t>customer679@example.com</t>
        </is>
      </c>
      <c r="S198">
        <f>+919850152967</f>
        <v/>
      </c>
      <c r="T198" t="inlineStr">
        <is>
          <t>[]</t>
        </is>
      </c>
      <c r="W198" t="inlineStr">
        <is>
          <t>BAD_REQUEST_ERROR</t>
        </is>
      </c>
      <c r="X198" t="inlineStr">
        <is>
          <t>Bank server unavailable</t>
        </is>
      </c>
      <c r="Y198" s="1" t="n">
        <v>46163.00728009259</v>
      </c>
    </row>
    <row r="199">
      <c r="A199" t="inlineStr">
        <is>
          <t>pay_PGlRht0JFSExIb</t>
        </is>
      </c>
      <c r="B199" t="n">
        <v>3999</v>
      </c>
      <c r="C199" t="inlineStr">
        <is>
          <t>INR</t>
        </is>
      </c>
      <c r="D199" t="inlineStr">
        <is>
          <t>captured</t>
        </is>
      </c>
      <c r="E199" t="inlineStr">
        <is>
          <t>order_tHjswxVDd2Ngfj</t>
        </is>
      </c>
      <c r="G199" t="n">
        <v>0</v>
      </c>
      <c r="H199" t="inlineStr">
        <is>
          <t>card</t>
        </is>
      </c>
      <c r="I199" t="n">
        <v>0</v>
      </c>
      <c r="J199" t="n">
        <v>0</v>
      </c>
      <c r="L199" t="n">
        <v>1</v>
      </c>
      <c r="R199" t="inlineStr">
        <is>
          <t>customer360@example.com</t>
        </is>
      </c>
      <c r="S199">
        <f>+919861358483</f>
        <v/>
      </c>
      <c r="T199" t="inlineStr">
        <is>
          <t>[]</t>
        </is>
      </c>
      <c r="U199" t="n">
        <v>79.98</v>
      </c>
      <c r="V199" t="n">
        <v>14.4</v>
      </c>
      <c r="Y199" s="1" t="n">
        <v>46156.38265046296</v>
      </c>
    </row>
    <row r="200">
      <c r="A200" t="inlineStr">
        <is>
          <t>pay_VJqAFBdejdP0Xd</t>
        </is>
      </c>
      <c r="B200" t="n">
        <v>999</v>
      </c>
      <c r="C200" t="inlineStr">
        <is>
          <t>INR</t>
        </is>
      </c>
      <c r="D200" t="inlineStr">
        <is>
          <t>refunded</t>
        </is>
      </c>
      <c r="E200" t="inlineStr">
        <is>
          <t>order_FewEpBhj9OsYZ0</t>
        </is>
      </c>
      <c r="G200" t="n">
        <v>0</v>
      </c>
      <c r="H200" t="inlineStr">
        <is>
          <t>upi</t>
        </is>
      </c>
      <c r="I200" t="n">
        <v>999</v>
      </c>
      <c r="J200" t="n">
        <v>0</v>
      </c>
      <c r="K200" t="inlineStr">
        <is>
          <t>full</t>
        </is>
      </c>
      <c r="L200" t="n">
        <v>1</v>
      </c>
      <c r="R200" t="inlineStr">
        <is>
          <t>customer24@example.com</t>
        </is>
      </c>
      <c r="S200">
        <f>+919893793488</f>
        <v/>
      </c>
      <c r="T200" t="inlineStr">
        <is>
          <t>[]</t>
        </is>
      </c>
      <c r="U200" t="n">
        <v>19.98</v>
      </c>
      <c r="V200" t="n">
        <v>3.6</v>
      </c>
      <c r="Y200" s="1" t="n">
        <v>46144.919375</v>
      </c>
    </row>
    <row r="201">
      <c r="A201" t="inlineStr">
        <is>
          <t>pay_G13uaWOOee3wD8</t>
        </is>
      </c>
      <c r="B201" t="n">
        <v>999</v>
      </c>
      <c r="C201" t="inlineStr">
        <is>
          <t>INR</t>
        </is>
      </c>
      <c r="D201" t="inlineStr">
        <is>
          <t>captured</t>
        </is>
      </c>
      <c r="E201" t="inlineStr">
        <is>
          <t>order_FgweF7Vwr5d01e</t>
        </is>
      </c>
      <c r="G201" t="n">
        <v>0</v>
      </c>
      <c r="H201" t="inlineStr">
        <is>
          <t>netbanking</t>
        </is>
      </c>
      <c r="I201" t="n">
        <v>0</v>
      </c>
      <c r="J201" t="n">
        <v>0</v>
      </c>
      <c r="L201" t="n">
        <v>1</v>
      </c>
      <c r="R201" t="inlineStr">
        <is>
          <t>customer200@example.com</t>
        </is>
      </c>
      <c r="S201">
        <f>+919887404680</f>
        <v/>
      </c>
      <c r="T201" t="inlineStr">
        <is>
          <t>[]</t>
        </is>
      </c>
      <c r="U201" t="n">
        <v>19.98</v>
      </c>
      <c r="V201" t="n">
        <v>3.6</v>
      </c>
      <c r="Y201" s="1" t="n">
        <v>46159.49578703703</v>
      </c>
    </row>
    <row r="202">
      <c r="A202" t="inlineStr">
        <is>
          <t>pay_UmDHdCTJk9wen3</t>
        </is>
      </c>
      <c r="B202" t="n">
        <v>999</v>
      </c>
      <c r="C202" t="inlineStr">
        <is>
          <t>INR</t>
        </is>
      </c>
      <c r="D202" t="inlineStr">
        <is>
          <t>captured</t>
        </is>
      </c>
      <c r="E202" t="inlineStr">
        <is>
          <t>order_tFGi1w5ivlC28X</t>
        </is>
      </c>
      <c r="G202" t="n">
        <v>0</v>
      </c>
      <c r="H202" t="inlineStr">
        <is>
          <t>upi</t>
        </is>
      </c>
      <c r="I202" t="n">
        <v>0</v>
      </c>
      <c r="J202" t="n">
        <v>0</v>
      </c>
      <c r="L202" t="n">
        <v>1</v>
      </c>
      <c r="R202" t="inlineStr">
        <is>
          <t>customer561@example.com</t>
        </is>
      </c>
      <c r="S202">
        <f>+919871762402</f>
        <v/>
      </c>
      <c r="T202" t="inlineStr">
        <is>
          <t>[]</t>
        </is>
      </c>
      <c r="U202" t="n">
        <v>19.98</v>
      </c>
      <c r="V202" t="n">
        <v>3.6</v>
      </c>
      <c r="Y202" s="1" t="n">
        <v>46173.83637731482</v>
      </c>
    </row>
    <row r="203">
      <c r="A203" t="inlineStr">
        <is>
          <t>pay_zyGr7liIvScPw5</t>
        </is>
      </c>
      <c r="B203" t="n">
        <v>999</v>
      </c>
      <c r="C203" t="inlineStr">
        <is>
          <t>INR</t>
        </is>
      </c>
      <c r="D203" t="inlineStr">
        <is>
          <t>captured</t>
        </is>
      </c>
      <c r="E203" t="inlineStr">
        <is>
          <t>order_GDijFXAd5i2cOj</t>
        </is>
      </c>
      <c r="G203" t="n">
        <v>0</v>
      </c>
      <c r="H203" t="inlineStr">
        <is>
          <t>upi</t>
        </is>
      </c>
      <c r="I203" t="n">
        <v>0</v>
      </c>
      <c r="J203" t="n">
        <v>0</v>
      </c>
      <c r="L203" t="n">
        <v>1</v>
      </c>
      <c r="R203" t="inlineStr">
        <is>
          <t>customer308@example.com</t>
        </is>
      </c>
      <c r="S203">
        <f>+919868108864</f>
        <v/>
      </c>
      <c r="T203" t="inlineStr">
        <is>
          <t>[]</t>
        </is>
      </c>
      <c r="U203" t="n">
        <v>19.98</v>
      </c>
      <c r="V203" t="n">
        <v>3.6</v>
      </c>
      <c r="Y203" s="1" t="n">
        <v>46169.84855324074</v>
      </c>
    </row>
    <row r="204">
      <c r="A204" t="inlineStr">
        <is>
          <t>pay_0XZCRUUfeE1VHT</t>
        </is>
      </c>
      <c r="B204" t="n">
        <v>999</v>
      </c>
      <c r="C204" t="inlineStr">
        <is>
          <t>INR</t>
        </is>
      </c>
      <c r="D204" t="inlineStr">
        <is>
          <t>captured</t>
        </is>
      </c>
      <c r="E204" t="inlineStr">
        <is>
          <t>order_HrPzRsCISOAfgj</t>
        </is>
      </c>
      <c r="G204" t="n">
        <v>0</v>
      </c>
      <c r="H204" t="inlineStr">
        <is>
          <t>netbanking</t>
        </is>
      </c>
      <c r="I204" t="n">
        <v>0</v>
      </c>
      <c r="J204" t="n">
        <v>0</v>
      </c>
      <c r="L204" t="n">
        <v>1</v>
      </c>
      <c r="R204" t="inlineStr">
        <is>
          <t>customer870@example.com</t>
        </is>
      </c>
      <c r="S204">
        <f>+919858926184</f>
        <v/>
      </c>
      <c r="T204" t="inlineStr">
        <is>
          <t>[]</t>
        </is>
      </c>
      <c r="U204" t="n">
        <v>19.98</v>
      </c>
      <c r="V204" t="n">
        <v>3.6</v>
      </c>
      <c r="Y204" s="1" t="n">
        <v>46153.43163194445</v>
      </c>
    </row>
    <row r="205">
      <c r="A205" t="inlineStr">
        <is>
          <t>pay_gD6yIAFc2Jvrl5</t>
        </is>
      </c>
      <c r="B205" t="n">
        <v>499</v>
      </c>
      <c r="C205" t="inlineStr">
        <is>
          <t>INR</t>
        </is>
      </c>
      <c r="D205" t="inlineStr">
        <is>
          <t>captured</t>
        </is>
      </c>
      <c r="E205" t="inlineStr">
        <is>
          <t>order_eZjVdj5VOxFmdn</t>
        </is>
      </c>
      <c r="G205" t="n">
        <v>0</v>
      </c>
      <c r="H205" t="inlineStr">
        <is>
          <t>upi</t>
        </is>
      </c>
      <c r="I205" t="n">
        <v>0</v>
      </c>
      <c r="J205" t="n">
        <v>0</v>
      </c>
      <c r="L205" t="n">
        <v>1</v>
      </c>
      <c r="R205" t="inlineStr">
        <is>
          <t>customer862@example.com</t>
        </is>
      </c>
      <c r="S205">
        <f>+919860791645</f>
        <v/>
      </c>
      <c r="T205" t="inlineStr">
        <is>
          <t>[]</t>
        </is>
      </c>
      <c r="U205" t="n">
        <v>9.98</v>
      </c>
      <c r="V205" t="n">
        <v>1.8</v>
      </c>
      <c r="Y205" s="1" t="n">
        <v>46156.44502314815</v>
      </c>
    </row>
    <row r="206">
      <c r="A206" t="inlineStr">
        <is>
          <t>pay_FKIoEdhjGaEMK5</t>
        </is>
      </c>
      <c r="B206" t="n">
        <v>2499</v>
      </c>
      <c r="C206" t="inlineStr">
        <is>
          <t>INR</t>
        </is>
      </c>
      <c r="D206" t="inlineStr">
        <is>
          <t>refunded</t>
        </is>
      </c>
      <c r="E206" t="inlineStr">
        <is>
          <t>order_8n6fhXKCcCyDfA</t>
        </is>
      </c>
      <c r="G206" t="n">
        <v>0</v>
      </c>
      <c r="H206" t="inlineStr">
        <is>
          <t>card</t>
        </is>
      </c>
      <c r="I206" t="n">
        <v>2499</v>
      </c>
      <c r="J206" t="n">
        <v>0</v>
      </c>
      <c r="K206" t="inlineStr">
        <is>
          <t>full</t>
        </is>
      </c>
      <c r="L206" t="n">
        <v>1</v>
      </c>
      <c r="R206" t="inlineStr">
        <is>
          <t>customer299@example.com</t>
        </is>
      </c>
      <c r="S206">
        <f>+919868014739</f>
        <v/>
      </c>
      <c r="T206" t="inlineStr">
        <is>
          <t>[]</t>
        </is>
      </c>
      <c r="U206" t="n">
        <v>49.98</v>
      </c>
      <c r="V206" t="n">
        <v>9</v>
      </c>
      <c r="Y206" s="1" t="n">
        <v>46166.73435185185</v>
      </c>
    </row>
    <row r="207">
      <c r="A207" t="inlineStr">
        <is>
          <t>pay_1luFTBs1yAnDRw</t>
        </is>
      </c>
      <c r="B207" t="n">
        <v>999</v>
      </c>
      <c r="C207" t="inlineStr">
        <is>
          <t>INR</t>
        </is>
      </c>
      <c r="D207" t="inlineStr">
        <is>
          <t>captured</t>
        </is>
      </c>
      <c r="E207" t="inlineStr">
        <is>
          <t>order_zllSWBMfExLGUQ</t>
        </is>
      </c>
      <c r="G207" t="n">
        <v>0</v>
      </c>
      <c r="H207" t="inlineStr">
        <is>
          <t>card</t>
        </is>
      </c>
      <c r="I207" t="n">
        <v>0</v>
      </c>
      <c r="J207" t="n">
        <v>0</v>
      </c>
      <c r="L207" t="n">
        <v>1</v>
      </c>
      <c r="R207" t="inlineStr">
        <is>
          <t>customer679@example.com</t>
        </is>
      </c>
      <c r="S207">
        <f>+919876213458</f>
        <v/>
      </c>
      <c r="T207" t="inlineStr">
        <is>
          <t>[]</t>
        </is>
      </c>
      <c r="U207" t="n">
        <v>19.98</v>
      </c>
      <c r="V207" t="n">
        <v>3.6</v>
      </c>
      <c r="Y207" s="1" t="n">
        <v>46167.64219907407</v>
      </c>
    </row>
    <row r="208">
      <c r="A208" t="inlineStr">
        <is>
          <t>pay_VF3bGeYqeRjDXa</t>
        </is>
      </c>
      <c r="B208" t="n">
        <v>1499</v>
      </c>
      <c r="C208" t="inlineStr">
        <is>
          <t>INR</t>
        </is>
      </c>
      <c r="D208" t="inlineStr">
        <is>
          <t>failed</t>
        </is>
      </c>
      <c r="E208" t="inlineStr">
        <is>
          <t>order_ZgOaLXBI3lWGzf</t>
        </is>
      </c>
      <c r="G208" t="n">
        <v>0</v>
      </c>
      <c r="H208" t="inlineStr">
        <is>
          <t>upi</t>
        </is>
      </c>
      <c r="I208" t="n">
        <v>0</v>
      </c>
      <c r="J208" t="n">
        <v>0</v>
      </c>
      <c r="L208" t="n">
        <v>0</v>
      </c>
      <c r="R208" t="inlineStr">
        <is>
          <t>customer747@example.com</t>
        </is>
      </c>
      <c r="S208">
        <f>+919895147367</f>
        <v/>
      </c>
      <c r="T208" t="inlineStr">
        <is>
          <t>[]</t>
        </is>
      </c>
      <c r="W208" t="inlineStr">
        <is>
          <t>BAD_REQUEST_ERROR</t>
        </is>
      </c>
      <c r="X208" t="inlineStr">
        <is>
          <t>UPI app declined the request</t>
        </is>
      </c>
      <c r="Y208" s="1" t="n">
        <v>46164.58490740741</v>
      </c>
    </row>
    <row r="209">
      <c r="A209" t="inlineStr">
        <is>
          <t>pay_6K7qnYZjYqfaFI</t>
        </is>
      </c>
      <c r="B209" t="n">
        <v>1499</v>
      </c>
      <c r="C209" t="inlineStr">
        <is>
          <t>INR</t>
        </is>
      </c>
      <c r="D209" t="inlineStr">
        <is>
          <t>failed</t>
        </is>
      </c>
      <c r="E209" t="inlineStr">
        <is>
          <t>order_eoPjnhSubew6ww</t>
        </is>
      </c>
      <c r="G209" t="n">
        <v>0</v>
      </c>
      <c r="H209" t="inlineStr">
        <is>
          <t>card</t>
        </is>
      </c>
      <c r="I209" t="n">
        <v>0</v>
      </c>
      <c r="J209" t="n">
        <v>0</v>
      </c>
      <c r="L209" t="n">
        <v>0</v>
      </c>
      <c r="R209" t="inlineStr">
        <is>
          <t>customer793@example.com</t>
        </is>
      </c>
      <c r="S209">
        <f>+919819791270</f>
        <v/>
      </c>
      <c r="T209" t="inlineStr">
        <is>
          <t>[]</t>
        </is>
      </c>
      <c r="W209" t="inlineStr">
        <is>
          <t>BAD_REQUEST_ERROR</t>
        </is>
      </c>
      <c r="X209" t="inlineStr">
        <is>
          <t>Payment cancelled by user</t>
        </is>
      </c>
      <c r="Y209" s="1" t="n">
        <v>46151.31186342592</v>
      </c>
    </row>
    <row r="210">
      <c r="A210" t="inlineStr">
        <is>
          <t>pay_kCMUa7qU8TZR7D</t>
        </is>
      </c>
      <c r="B210" t="n">
        <v>1499</v>
      </c>
      <c r="C210" t="inlineStr">
        <is>
          <t>INR</t>
        </is>
      </c>
      <c r="D210" t="inlineStr">
        <is>
          <t>captured</t>
        </is>
      </c>
      <c r="E210" t="inlineStr">
        <is>
          <t>order_eoPjnhSubew6ww</t>
        </is>
      </c>
      <c r="G210" t="n">
        <v>0</v>
      </c>
      <c r="H210" t="inlineStr">
        <is>
          <t>card</t>
        </is>
      </c>
      <c r="I210" t="n">
        <v>0</v>
      </c>
      <c r="J210" t="n">
        <v>0</v>
      </c>
      <c r="L210" t="n">
        <v>1</v>
      </c>
      <c r="R210" t="inlineStr">
        <is>
          <t>customer780@example.com</t>
        </is>
      </c>
      <c r="S210">
        <f>+919848836784</f>
        <v/>
      </c>
      <c r="T210" t="inlineStr">
        <is>
          <t>[]</t>
        </is>
      </c>
      <c r="U210" t="n">
        <v>29.98</v>
      </c>
      <c r="V210" t="n">
        <v>5.4</v>
      </c>
      <c r="Y210" s="1" t="n">
        <v>46151.31516203703</v>
      </c>
    </row>
    <row r="211">
      <c r="A211" t="inlineStr">
        <is>
          <t>pay_GH7EjvreNlG4sB</t>
        </is>
      </c>
      <c r="B211" t="n">
        <v>3999</v>
      </c>
      <c r="C211" t="inlineStr">
        <is>
          <t>INR</t>
        </is>
      </c>
      <c r="D211" t="inlineStr">
        <is>
          <t>captured</t>
        </is>
      </c>
      <c r="E211" t="inlineStr">
        <is>
          <t>order_MeY2sS12eZpXQC</t>
        </is>
      </c>
      <c r="G211" t="n">
        <v>0</v>
      </c>
      <c r="H211" t="inlineStr">
        <is>
          <t>card</t>
        </is>
      </c>
      <c r="I211" t="n">
        <v>0</v>
      </c>
      <c r="J211" t="n">
        <v>0</v>
      </c>
      <c r="L211" t="n">
        <v>1</v>
      </c>
      <c r="R211" t="inlineStr">
        <is>
          <t>customer359@example.com</t>
        </is>
      </c>
      <c r="S211">
        <f>+919872743033</f>
        <v/>
      </c>
      <c r="T211" t="inlineStr">
        <is>
          <t>[]</t>
        </is>
      </c>
      <c r="U211" t="n">
        <v>79.98</v>
      </c>
      <c r="V211" t="n">
        <v>14.4</v>
      </c>
      <c r="Y211" s="1" t="n">
        <v>46167.67317129629</v>
      </c>
    </row>
    <row r="212">
      <c r="A212" t="inlineStr">
        <is>
          <t>pay_p7QlStGeZWKQvh</t>
        </is>
      </c>
      <c r="B212" t="n">
        <v>499</v>
      </c>
      <c r="C212" t="inlineStr">
        <is>
          <t>INR</t>
        </is>
      </c>
      <c r="D212" t="inlineStr">
        <is>
          <t>failed</t>
        </is>
      </c>
      <c r="E212" t="inlineStr">
        <is>
          <t>order_pZcXX1p5xB6HQg</t>
        </is>
      </c>
      <c r="G212" t="n">
        <v>0</v>
      </c>
      <c r="H212" t="inlineStr">
        <is>
          <t>upi</t>
        </is>
      </c>
      <c r="I212" t="n">
        <v>0</v>
      </c>
      <c r="J212" t="n">
        <v>0</v>
      </c>
      <c r="L212" t="n">
        <v>0</v>
      </c>
      <c r="R212" t="inlineStr">
        <is>
          <t>customer333@example.com</t>
        </is>
      </c>
      <c r="S212">
        <f>+919868858907</f>
        <v/>
      </c>
      <c r="T212" t="inlineStr">
        <is>
          <t>[]</t>
        </is>
      </c>
      <c r="W212" t="inlineStr">
        <is>
          <t>BAD_REQUEST_ERROR</t>
        </is>
      </c>
      <c r="X212" t="inlineStr">
        <is>
          <t>Payment was not completed on time</t>
        </is>
      </c>
      <c r="Y212" s="1" t="n">
        <v>46145.97305555556</v>
      </c>
    </row>
    <row r="213">
      <c r="A213" t="inlineStr">
        <is>
          <t>pay_hPqUvU0UJdHFLs</t>
        </is>
      </c>
      <c r="B213" t="n">
        <v>499</v>
      </c>
      <c r="C213" t="inlineStr">
        <is>
          <t>INR</t>
        </is>
      </c>
      <c r="D213" t="inlineStr">
        <is>
          <t>captured</t>
        </is>
      </c>
      <c r="E213" t="inlineStr">
        <is>
          <t>order_pZcXX1p5xB6HQg</t>
        </is>
      </c>
      <c r="G213" t="n">
        <v>0</v>
      </c>
      <c r="H213" t="inlineStr">
        <is>
          <t>upi</t>
        </is>
      </c>
      <c r="I213" t="n">
        <v>0</v>
      </c>
      <c r="J213" t="n">
        <v>0</v>
      </c>
      <c r="L213" t="n">
        <v>1</v>
      </c>
      <c r="R213" t="inlineStr">
        <is>
          <t>customer318@example.com</t>
        </is>
      </c>
      <c r="S213">
        <f>+919898164183</f>
        <v/>
      </c>
      <c r="T213" t="inlineStr">
        <is>
          <t>[]</t>
        </is>
      </c>
      <c r="U213" t="n">
        <v>9.98</v>
      </c>
      <c r="V213" t="n">
        <v>1.8</v>
      </c>
      <c r="Y213" s="1" t="n">
        <v>46145.97344907407</v>
      </c>
    </row>
    <row r="214">
      <c r="A214" t="inlineStr">
        <is>
          <t>pay_iYQBr3NHboRb0H</t>
        </is>
      </c>
      <c r="B214" t="n">
        <v>2499</v>
      </c>
      <c r="C214" t="inlineStr">
        <is>
          <t>INR</t>
        </is>
      </c>
      <c r="D214" t="inlineStr">
        <is>
          <t>captured</t>
        </is>
      </c>
      <c r="E214" t="inlineStr">
        <is>
          <t>order_83VhQ5K70rwSwV</t>
        </is>
      </c>
      <c r="G214" t="n">
        <v>0</v>
      </c>
      <c r="H214" t="inlineStr">
        <is>
          <t>upi</t>
        </is>
      </c>
      <c r="I214" t="n">
        <v>0</v>
      </c>
      <c r="J214" t="n">
        <v>0</v>
      </c>
      <c r="L214" t="n">
        <v>1</v>
      </c>
      <c r="R214" t="inlineStr">
        <is>
          <t>customer328@example.com</t>
        </is>
      </c>
      <c r="S214">
        <f>+919848644035</f>
        <v/>
      </c>
      <c r="T214" t="inlineStr">
        <is>
          <t>[]</t>
        </is>
      </c>
      <c r="U214" t="n">
        <v>49.98</v>
      </c>
      <c r="V214" t="n">
        <v>9</v>
      </c>
      <c r="Y214" s="1" t="n">
        <v>46163.46693287037</v>
      </c>
    </row>
    <row r="215">
      <c r="A215" t="inlineStr">
        <is>
          <t>pay_sYfc7n4UcfOjPP</t>
        </is>
      </c>
      <c r="B215" t="n">
        <v>1499</v>
      </c>
      <c r="C215" t="inlineStr">
        <is>
          <t>INR</t>
        </is>
      </c>
      <c r="D215" t="inlineStr">
        <is>
          <t>captured</t>
        </is>
      </c>
      <c r="E215" t="inlineStr">
        <is>
          <t>order_0n9L0IVZF5iR23</t>
        </is>
      </c>
      <c r="G215" t="n">
        <v>0</v>
      </c>
      <c r="H215" t="inlineStr">
        <is>
          <t>card</t>
        </is>
      </c>
      <c r="I215" t="n">
        <v>0</v>
      </c>
      <c r="J215" t="n">
        <v>0</v>
      </c>
      <c r="L215" t="n">
        <v>1</v>
      </c>
      <c r="R215" t="inlineStr">
        <is>
          <t>customer238@example.com</t>
        </is>
      </c>
      <c r="S215">
        <f>+919863662747</f>
        <v/>
      </c>
      <c r="T215" t="inlineStr">
        <is>
          <t>[]</t>
        </is>
      </c>
      <c r="U215" t="n">
        <v>29.98</v>
      </c>
      <c r="V215" t="n">
        <v>5.4</v>
      </c>
      <c r="Y215" s="1" t="n">
        <v>46157.74599537037</v>
      </c>
    </row>
    <row r="216">
      <c r="A216" t="inlineStr">
        <is>
          <t>pay_FKJCFQ2FWQhqtv</t>
        </is>
      </c>
      <c r="B216" t="n">
        <v>3999</v>
      </c>
      <c r="C216" t="inlineStr">
        <is>
          <t>INR</t>
        </is>
      </c>
      <c r="D216" t="inlineStr">
        <is>
          <t>captured</t>
        </is>
      </c>
      <c r="E216" t="inlineStr">
        <is>
          <t>order_x9OYkuM8mKUIqn</t>
        </is>
      </c>
      <c r="G216" t="n">
        <v>0</v>
      </c>
      <c r="H216" t="inlineStr">
        <is>
          <t>upi</t>
        </is>
      </c>
      <c r="I216" t="n">
        <v>0</v>
      </c>
      <c r="J216" t="n">
        <v>0</v>
      </c>
      <c r="L216" t="n">
        <v>1</v>
      </c>
      <c r="R216" t="inlineStr">
        <is>
          <t>customer503@example.com</t>
        </is>
      </c>
      <c r="S216">
        <f>+919849530351</f>
        <v/>
      </c>
      <c r="T216" t="inlineStr">
        <is>
          <t>[]</t>
        </is>
      </c>
      <c r="U216" t="n">
        <v>79.98</v>
      </c>
      <c r="V216" t="n">
        <v>14.4</v>
      </c>
      <c r="Y216" s="1" t="n">
        <v>46166.13739583334</v>
      </c>
    </row>
    <row r="217">
      <c r="A217" t="inlineStr">
        <is>
          <t>pay_4VkwamvkDiOzpQ</t>
        </is>
      </c>
      <c r="B217" t="n">
        <v>3999</v>
      </c>
      <c r="C217" t="inlineStr">
        <is>
          <t>INR</t>
        </is>
      </c>
      <c r="D217" t="inlineStr">
        <is>
          <t>failed</t>
        </is>
      </c>
      <c r="E217" t="inlineStr">
        <is>
          <t>order_TxR5jN7x2XtiXz</t>
        </is>
      </c>
      <c r="G217" t="n">
        <v>0</v>
      </c>
      <c r="H217" t="inlineStr">
        <is>
          <t>card</t>
        </is>
      </c>
      <c r="I217" t="n">
        <v>0</v>
      </c>
      <c r="J217" t="n">
        <v>0</v>
      </c>
      <c r="L217" t="n">
        <v>0</v>
      </c>
      <c r="R217" t="inlineStr">
        <is>
          <t>customer336@example.com</t>
        </is>
      </c>
      <c r="S217">
        <f>+919847110527</f>
        <v/>
      </c>
      <c r="T217" t="inlineStr">
        <is>
          <t>[]</t>
        </is>
      </c>
      <c r="W217" t="inlineStr">
        <is>
          <t>BAD_REQUEST_ERROR</t>
        </is>
      </c>
      <c r="X217" t="inlineStr">
        <is>
          <t>Card declined by bank</t>
        </is>
      </c>
      <c r="Y217" s="1" t="n">
        <v>46165.52116898148</v>
      </c>
    </row>
    <row r="218">
      <c r="A218" t="inlineStr">
        <is>
          <t>pay_WHXucgSFVmrn0R</t>
        </is>
      </c>
      <c r="B218" t="n">
        <v>1799</v>
      </c>
      <c r="C218" t="inlineStr">
        <is>
          <t>INR</t>
        </is>
      </c>
      <c r="D218" t="inlineStr">
        <is>
          <t>captured</t>
        </is>
      </c>
      <c r="E218" t="inlineStr">
        <is>
          <t>order_YUlocIflk5Wr8j</t>
        </is>
      </c>
      <c r="G218" t="n">
        <v>0</v>
      </c>
      <c r="H218" t="inlineStr">
        <is>
          <t>card</t>
        </is>
      </c>
      <c r="I218" t="n">
        <v>0</v>
      </c>
      <c r="J218" t="n">
        <v>0</v>
      </c>
      <c r="L218" t="n">
        <v>1</v>
      </c>
      <c r="R218" t="inlineStr">
        <is>
          <t>customer159@example.com</t>
        </is>
      </c>
      <c r="S218">
        <f>+919826873153</f>
        <v/>
      </c>
      <c r="T218" t="inlineStr">
        <is>
          <t>[]</t>
        </is>
      </c>
      <c r="U218" t="n">
        <v>35.98</v>
      </c>
      <c r="V218" t="n">
        <v>6.48</v>
      </c>
      <c r="Y218" s="1" t="n">
        <v>46154.073125</v>
      </c>
    </row>
    <row r="219">
      <c r="A219" t="inlineStr">
        <is>
          <t>pay_qWVL59sy7sd7t4</t>
        </is>
      </c>
      <c r="B219" t="n">
        <v>1499</v>
      </c>
      <c r="C219" t="inlineStr">
        <is>
          <t>INR</t>
        </is>
      </c>
      <c r="D219" t="inlineStr">
        <is>
          <t>failed</t>
        </is>
      </c>
      <c r="E219" t="inlineStr">
        <is>
          <t>order_4REf0bl0sjIKLY</t>
        </is>
      </c>
      <c r="G219" t="n">
        <v>0</v>
      </c>
      <c r="H219" t="inlineStr">
        <is>
          <t>card</t>
        </is>
      </c>
      <c r="I219" t="n">
        <v>0</v>
      </c>
      <c r="J219" t="n">
        <v>0</v>
      </c>
      <c r="L219" t="n">
        <v>0</v>
      </c>
      <c r="R219" t="inlineStr">
        <is>
          <t>customer289@example.com</t>
        </is>
      </c>
      <c r="S219">
        <f>+919866228222</f>
        <v/>
      </c>
      <c r="T219" t="inlineStr">
        <is>
          <t>[]</t>
        </is>
      </c>
      <c r="W219" t="inlineStr">
        <is>
          <t>BAD_REQUEST_ERROR</t>
        </is>
      </c>
      <c r="X219" t="inlineStr">
        <is>
          <t>Payment cancelled by user</t>
        </is>
      </c>
      <c r="Y219" s="1" t="n">
        <v>46161.80113425926</v>
      </c>
    </row>
    <row r="220">
      <c r="A220" t="inlineStr">
        <is>
          <t>pay_byoF5pbDRsIdyZ</t>
        </is>
      </c>
      <c r="B220" t="n">
        <v>1499</v>
      </c>
      <c r="C220" t="inlineStr">
        <is>
          <t>INR</t>
        </is>
      </c>
      <c r="D220" t="inlineStr">
        <is>
          <t>captured</t>
        </is>
      </c>
      <c r="E220" t="inlineStr">
        <is>
          <t>order_biYhsGGbgPzfDx</t>
        </is>
      </c>
      <c r="G220" t="n">
        <v>0</v>
      </c>
      <c r="H220" t="inlineStr">
        <is>
          <t>upi</t>
        </is>
      </c>
      <c r="I220" t="n">
        <v>0</v>
      </c>
      <c r="J220" t="n">
        <v>0</v>
      </c>
      <c r="L220" t="n">
        <v>1</v>
      </c>
      <c r="R220" t="inlineStr">
        <is>
          <t>customer135@example.com</t>
        </is>
      </c>
      <c r="S220">
        <f>+919824163295</f>
        <v/>
      </c>
      <c r="T220" t="inlineStr">
        <is>
          <t>[]</t>
        </is>
      </c>
      <c r="U220" t="n">
        <v>29.98</v>
      </c>
      <c r="V220" t="n">
        <v>5.4</v>
      </c>
      <c r="Y220" s="1" t="n">
        <v>46146.84412037037</v>
      </c>
    </row>
    <row r="221">
      <c r="A221" t="inlineStr">
        <is>
          <t>pay_B1cWOWjfGLQlJ8</t>
        </is>
      </c>
      <c r="B221" t="n">
        <v>2499</v>
      </c>
      <c r="C221" t="inlineStr">
        <is>
          <t>INR</t>
        </is>
      </c>
      <c r="D221" t="inlineStr">
        <is>
          <t>failed</t>
        </is>
      </c>
      <c r="E221" t="inlineStr">
        <is>
          <t>order_JryadTpoJ7t5h2</t>
        </is>
      </c>
      <c r="G221" t="n">
        <v>0</v>
      </c>
      <c r="H221" t="inlineStr">
        <is>
          <t>upi</t>
        </is>
      </c>
      <c r="I221" t="n">
        <v>0</v>
      </c>
      <c r="J221" t="n">
        <v>0</v>
      </c>
      <c r="L221" t="n">
        <v>0</v>
      </c>
      <c r="R221" t="inlineStr">
        <is>
          <t>customer260@example.com</t>
        </is>
      </c>
      <c r="S221">
        <f>+919835030042</f>
        <v/>
      </c>
      <c r="T221" t="inlineStr">
        <is>
          <t>[]</t>
        </is>
      </c>
      <c r="W221" t="inlineStr">
        <is>
          <t>BAD_REQUEST_ERROR</t>
        </is>
      </c>
      <c r="X221" t="inlineStr">
        <is>
          <t>UPI app declined the request</t>
        </is>
      </c>
      <c r="Y221" s="1" t="n">
        <v>46162.37773148148</v>
      </c>
    </row>
    <row r="222">
      <c r="A222" t="inlineStr">
        <is>
          <t>pay_6qTj2GAGj0w6Wu</t>
        </is>
      </c>
      <c r="B222" t="n">
        <v>3999</v>
      </c>
      <c r="C222" t="inlineStr">
        <is>
          <t>INR</t>
        </is>
      </c>
      <c r="D222" t="inlineStr">
        <is>
          <t>captured</t>
        </is>
      </c>
      <c r="E222" t="inlineStr">
        <is>
          <t>order_6MoJW5DIDSZ41E</t>
        </is>
      </c>
      <c r="G222" t="n">
        <v>0</v>
      </c>
      <c r="H222" t="inlineStr">
        <is>
          <t>upi</t>
        </is>
      </c>
      <c r="I222" t="n">
        <v>0</v>
      </c>
      <c r="J222" t="n">
        <v>0</v>
      </c>
      <c r="L222" t="n">
        <v>1</v>
      </c>
      <c r="R222" t="inlineStr">
        <is>
          <t>customer773@example.com</t>
        </is>
      </c>
      <c r="S222">
        <f>+919865480798</f>
        <v/>
      </c>
      <c r="T222" t="inlineStr">
        <is>
          <t>[]</t>
        </is>
      </c>
      <c r="U222" t="n">
        <v>79.98</v>
      </c>
      <c r="V222" t="n">
        <v>14.4</v>
      </c>
      <c r="Y222" s="1" t="n">
        <v>46164.37513888889</v>
      </c>
    </row>
    <row r="223">
      <c r="A223" t="inlineStr">
        <is>
          <t>pay_NLUIeRwLM5Bqwk</t>
        </is>
      </c>
      <c r="B223" t="n">
        <v>1499</v>
      </c>
      <c r="C223" t="inlineStr">
        <is>
          <t>INR</t>
        </is>
      </c>
      <c r="D223" t="inlineStr">
        <is>
          <t>captured</t>
        </is>
      </c>
      <c r="E223" t="inlineStr">
        <is>
          <t>order_XgVuRzEl2Qlotw</t>
        </is>
      </c>
      <c r="G223" t="n">
        <v>0</v>
      </c>
      <c r="H223" t="inlineStr">
        <is>
          <t>card</t>
        </is>
      </c>
      <c r="I223" t="n">
        <v>0</v>
      </c>
      <c r="J223" t="n">
        <v>0</v>
      </c>
      <c r="L223" t="n">
        <v>1</v>
      </c>
      <c r="R223" t="inlineStr">
        <is>
          <t>customer811@example.com</t>
        </is>
      </c>
      <c r="S223">
        <f>+919845771759</f>
        <v/>
      </c>
      <c r="T223" t="inlineStr">
        <is>
          <t>[]</t>
        </is>
      </c>
      <c r="U223" t="n">
        <v>29.98</v>
      </c>
      <c r="V223" t="n">
        <v>5.4</v>
      </c>
      <c r="Y223" s="1" t="n">
        <v>46143.66673611111</v>
      </c>
    </row>
    <row r="224">
      <c r="A224" t="inlineStr">
        <is>
          <t>pay_iS7YbjBR8sC60m</t>
        </is>
      </c>
      <c r="B224" t="n">
        <v>1499</v>
      </c>
      <c r="C224" t="inlineStr">
        <is>
          <t>INR</t>
        </is>
      </c>
      <c r="D224" t="inlineStr">
        <is>
          <t>captured</t>
        </is>
      </c>
      <c r="E224" t="inlineStr">
        <is>
          <t>order_5bot0gP28XdDnh</t>
        </is>
      </c>
      <c r="G224" t="n">
        <v>0</v>
      </c>
      <c r="H224" t="inlineStr">
        <is>
          <t>card</t>
        </is>
      </c>
      <c r="I224" t="n">
        <v>0</v>
      </c>
      <c r="J224" t="n">
        <v>0</v>
      </c>
      <c r="L224" t="n">
        <v>1</v>
      </c>
      <c r="R224" t="inlineStr">
        <is>
          <t>customer52@example.com</t>
        </is>
      </c>
      <c r="S224">
        <f>+919852237909</f>
        <v/>
      </c>
      <c r="T224" t="inlineStr">
        <is>
          <t>[]</t>
        </is>
      </c>
      <c r="U224" t="n">
        <v>29.98</v>
      </c>
      <c r="V224" t="n">
        <v>5.4</v>
      </c>
      <c r="Y224" s="1" t="n">
        <v>46158.354375</v>
      </c>
    </row>
    <row r="225">
      <c r="A225" t="inlineStr">
        <is>
          <t>pay_6LUKneUBhIqq2M</t>
        </is>
      </c>
      <c r="B225" t="n">
        <v>499</v>
      </c>
      <c r="C225" t="inlineStr">
        <is>
          <t>INR</t>
        </is>
      </c>
      <c r="D225" t="inlineStr">
        <is>
          <t>failed</t>
        </is>
      </c>
      <c r="E225" t="inlineStr">
        <is>
          <t>order_EiUA0P7JK8Xug5</t>
        </is>
      </c>
      <c r="G225" t="n">
        <v>0</v>
      </c>
      <c r="H225" t="inlineStr">
        <is>
          <t>card</t>
        </is>
      </c>
      <c r="I225" t="n">
        <v>0</v>
      </c>
      <c r="J225" t="n">
        <v>0</v>
      </c>
      <c r="L225" t="n">
        <v>0</v>
      </c>
      <c r="R225" t="inlineStr">
        <is>
          <t>customer767@example.com</t>
        </is>
      </c>
      <c r="S225">
        <f>+919883779689</f>
        <v/>
      </c>
      <c r="T225" t="inlineStr">
        <is>
          <t>[]</t>
        </is>
      </c>
      <c r="W225" t="inlineStr">
        <is>
          <t>BAD_REQUEST_ERROR</t>
        </is>
      </c>
      <c r="X225" t="inlineStr">
        <is>
          <t>Payment failed due to incorrect OTP</t>
        </is>
      </c>
      <c r="Y225" s="1" t="n">
        <v>46143.22851851852</v>
      </c>
    </row>
    <row r="226">
      <c r="A226" t="inlineStr">
        <is>
          <t>pay_W2sSnaQWu9StV0</t>
        </is>
      </c>
      <c r="B226" t="n">
        <v>499</v>
      </c>
      <c r="C226" t="inlineStr">
        <is>
          <t>INR</t>
        </is>
      </c>
      <c r="D226" t="inlineStr">
        <is>
          <t>captured</t>
        </is>
      </c>
      <c r="E226" t="inlineStr">
        <is>
          <t>order_EiUA0P7JK8Xug5</t>
        </is>
      </c>
      <c r="G226" t="n">
        <v>0</v>
      </c>
      <c r="H226" t="inlineStr">
        <is>
          <t>card</t>
        </is>
      </c>
      <c r="I226" t="n">
        <v>0</v>
      </c>
      <c r="J226" t="n">
        <v>0</v>
      </c>
      <c r="L226" t="n">
        <v>1</v>
      </c>
      <c r="R226" t="inlineStr">
        <is>
          <t>customer144@example.com</t>
        </is>
      </c>
      <c r="S226">
        <f>+919875713128</f>
        <v/>
      </c>
      <c r="T226" t="inlineStr">
        <is>
          <t>[]</t>
        </is>
      </c>
      <c r="U226" t="n">
        <v>9.98</v>
      </c>
      <c r="V226" t="n">
        <v>1.8</v>
      </c>
      <c r="Y226" s="1" t="n">
        <v>46143.2314699074</v>
      </c>
    </row>
    <row r="227">
      <c r="A227" t="inlineStr">
        <is>
          <t>pay_EELWyIuoXWiWAj</t>
        </is>
      </c>
      <c r="B227" t="n">
        <v>1499</v>
      </c>
      <c r="C227" t="inlineStr">
        <is>
          <t>INR</t>
        </is>
      </c>
      <c r="D227" t="inlineStr">
        <is>
          <t>captured</t>
        </is>
      </c>
      <c r="E227" t="inlineStr">
        <is>
          <t>order_rxGGsdNSRy1bib</t>
        </is>
      </c>
      <c r="G227" t="n">
        <v>0</v>
      </c>
      <c r="H227" t="inlineStr">
        <is>
          <t>upi</t>
        </is>
      </c>
      <c r="I227" t="n">
        <v>0</v>
      </c>
      <c r="J227" t="n">
        <v>0</v>
      </c>
      <c r="L227" t="n">
        <v>1</v>
      </c>
      <c r="R227" t="inlineStr">
        <is>
          <t>customer122@example.com</t>
        </is>
      </c>
      <c r="S227">
        <f>+919852892464</f>
        <v/>
      </c>
      <c r="T227" t="inlineStr">
        <is>
          <t>[]</t>
        </is>
      </c>
      <c r="U227" t="n">
        <v>29.98</v>
      </c>
      <c r="V227" t="n">
        <v>5.4</v>
      </c>
      <c r="Y227" s="1" t="n">
        <v>46149.32449074074</v>
      </c>
    </row>
    <row r="228">
      <c r="A228" t="inlineStr">
        <is>
          <t>pay_EZqryOj8FTzbxJ</t>
        </is>
      </c>
      <c r="B228" t="n">
        <v>3999</v>
      </c>
      <c r="C228" t="inlineStr">
        <is>
          <t>INR</t>
        </is>
      </c>
      <c r="D228" t="inlineStr">
        <is>
          <t>captured</t>
        </is>
      </c>
      <c r="E228" t="inlineStr">
        <is>
          <t>order_X7UyGWdHJSvLTx</t>
        </is>
      </c>
      <c r="G228" t="n">
        <v>0</v>
      </c>
      <c r="H228" t="inlineStr">
        <is>
          <t>upi</t>
        </is>
      </c>
      <c r="I228" t="n">
        <v>0</v>
      </c>
      <c r="J228" t="n">
        <v>0</v>
      </c>
      <c r="L228" t="n">
        <v>1</v>
      </c>
      <c r="R228" t="inlineStr">
        <is>
          <t>customer93@example.com</t>
        </is>
      </c>
      <c r="S228">
        <f>+919849059783</f>
        <v/>
      </c>
      <c r="T228" t="inlineStr">
        <is>
          <t>[]</t>
        </is>
      </c>
      <c r="U228" t="n">
        <v>79.98</v>
      </c>
      <c r="V228" t="n">
        <v>14.4</v>
      </c>
      <c r="Y228" s="1" t="n">
        <v>46156.01105324074</v>
      </c>
    </row>
    <row r="229">
      <c r="A229" t="inlineStr">
        <is>
          <t>pay_v0oOaZBCExoQMd</t>
        </is>
      </c>
      <c r="B229" t="n">
        <v>1799</v>
      </c>
      <c r="C229" t="inlineStr">
        <is>
          <t>INR</t>
        </is>
      </c>
      <c r="D229" t="inlineStr">
        <is>
          <t>failed</t>
        </is>
      </c>
      <c r="E229" t="inlineStr">
        <is>
          <t>order_CbpuOkEqJQGUMf</t>
        </is>
      </c>
      <c r="G229" t="n">
        <v>0</v>
      </c>
      <c r="H229" t="inlineStr">
        <is>
          <t>upi</t>
        </is>
      </c>
      <c r="I229" t="n">
        <v>0</v>
      </c>
      <c r="J229" t="n">
        <v>0</v>
      </c>
      <c r="L229" t="n">
        <v>0</v>
      </c>
      <c r="R229" t="inlineStr">
        <is>
          <t>customer277@example.com</t>
        </is>
      </c>
      <c r="S229">
        <f>+919862471333</f>
        <v/>
      </c>
      <c r="T229" t="inlineStr">
        <is>
          <t>[]</t>
        </is>
      </c>
      <c r="W229" t="inlineStr">
        <is>
          <t>BAD_REQUEST_ERROR</t>
        </is>
      </c>
      <c r="X229" t="inlineStr">
        <is>
          <t>UPI app declined the request</t>
        </is>
      </c>
      <c r="Y229" s="1" t="n">
        <v>46152.97388888889</v>
      </c>
    </row>
    <row r="230">
      <c r="A230" t="inlineStr">
        <is>
          <t>pay_78ANiL22ik3RVe</t>
        </is>
      </c>
      <c r="B230" t="n">
        <v>1799</v>
      </c>
      <c r="C230" t="inlineStr">
        <is>
          <t>INR</t>
        </is>
      </c>
      <c r="D230" t="inlineStr">
        <is>
          <t>captured</t>
        </is>
      </c>
      <c r="E230" t="inlineStr">
        <is>
          <t>order_x68inkBrP2ebgt</t>
        </is>
      </c>
      <c r="G230" t="n">
        <v>0</v>
      </c>
      <c r="H230" t="inlineStr">
        <is>
          <t>upi</t>
        </is>
      </c>
      <c r="I230" t="n">
        <v>0</v>
      </c>
      <c r="J230" t="n">
        <v>0</v>
      </c>
      <c r="L230" t="n">
        <v>1</v>
      </c>
      <c r="R230" t="inlineStr">
        <is>
          <t>customer634@example.com</t>
        </is>
      </c>
      <c r="S230">
        <f>+919849609841</f>
        <v/>
      </c>
      <c r="T230" t="inlineStr">
        <is>
          <t>[]</t>
        </is>
      </c>
      <c r="U230" t="n">
        <v>35.98</v>
      </c>
      <c r="V230" t="n">
        <v>6.48</v>
      </c>
      <c r="Y230" s="1" t="n">
        <v>46146.42856481481</v>
      </c>
    </row>
    <row r="231">
      <c r="A231" t="inlineStr">
        <is>
          <t>pay_D1yAX8URZ47Gya</t>
        </is>
      </c>
      <c r="B231" t="n">
        <v>999</v>
      </c>
      <c r="C231" t="inlineStr">
        <is>
          <t>INR</t>
        </is>
      </c>
      <c r="D231" t="inlineStr">
        <is>
          <t>failed</t>
        </is>
      </c>
      <c r="E231" t="inlineStr">
        <is>
          <t>order_s8tsfRsKnYyXmS</t>
        </is>
      </c>
      <c r="G231" t="n">
        <v>0</v>
      </c>
      <c r="H231" t="inlineStr">
        <is>
          <t>upi</t>
        </is>
      </c>
      <c r="I231" t="n">
        <v>0</v>
      </c>
      <c r="J231" t="n">
        <v>0</v>
      </c>
      <c r="L231" t="n">
        <v>0</v>
      </c>
      <c r="R231" t="inlineStr">
        <is>
          <t>customer540@example.com</t>
        </is>
      </c>
      <c r="S231">
        <f>+919851615695</f>
        <v/>
      </c>
      <c r="T231" t="inlineStr">
        <is>
          <t>[]</t>
        </is>
      </c>
      <c r="W231" t="inlineStr">
        <is>
          <t>BAD_REQUEST_ERROR</t>
        </is>
      </c>
      <c r="X231" t="inlineStr">
        <is>
          <t>UPI app declined the request</t>
        </is>
      </c>
      <c r="Y231" s="1" t="n">
        <v>46144.11244212963</v>
      </c>
    </row>
    <row r="232">
      <c r="A232" t="inlineStr">
        <is>
          <t>pay_WxPx36WxvALcH5</t>
        </is>
      </c>
      <c r="B232" t="n">
        <v>3999</v>
      </c>
      <c r="C232" t="inlineStr">
        <is>
          <t>INR</t>
        </is>
      </c>
      <c r="D232" t="inlineStr">
        <is>
          <t>captured</t>
        </is>
      </c>
      <c r="E232" t="inlineStr">
        <is>
          <t>order_t5awWPPEfZVDIX</t>
        </is>
      </c>
      <c r="G232" t="n">
        <v>0</v>
      </c>
      <c r="H232" t="inlineStr">
        <is>
          <t>upi</t>
        </is>
      </c>
      <c r="I232" t="n">
        <v>0</v>
      </c>
      <c r="J232" t="n">
        <v>0</v>
      </c>
      <c r="L232" t="n">
        <v>1</v>
      </c>
      <c r="R232" t="inlineStr">
        <is>
          <t>customer66@example.com</t>
        </is>
      </c>
      <c r="S232">
        <f>+919886801086</f>
        <v/>
      </c>
      <c r="T232" t="inlineStr">
        <is>
          <t>[]</t>
        </is>
      </c>
      <c r="U232" t="n">
        <v>79.98</v>
      </c>
      <c r="V232" t="n">
        <v>14.4</v>
      </c>
      <c r="Y232" s="1" t="n">
        <v>46150.55590277778</v>
      </c>
    </row>
    <row r="233">
      <c r="A233" t="inlineStr">
        <is>
          <t>pay_cMVOuLmZ0KUgot</t>
        </is>
      </c>
      <c r="B233" t="n">
        <v>3999</v>
      </c>
      <c r="C233" t="inlineStr">
        <is>
          <t>INR</t>
        </is>
      </c>
      <c r="D233" t="inlineStr">
        <is>
          <t>captured</t>
        </is>
      </c>
      <c r="E233" t="inlineStr">
        <is>
          <t>order_SSUAh02SnEFwEC</t>
        </is>
      </c>
      <c r="G233" t="n">
        <v>0</v>
      </c>
      <c r="H233" t="inlineStr">
        <is>
          <t>netbanking</t>
        </is>
      </c>
      <c r="I233" t="n">
        <v>0</v>
      </c>
      <c r="J233" t="n">
        <v>0</v>
      </c>
      <c r="L233" t="n">
        <v>1</v>
      </c>
      <c r="R233" t="inlineStr">
        <is>
          <t>customer22@example.com</t>
        </is>
      </c>
      <c r="S233">
        <f>+919880447710</f>
        <v/>
      </c>
      <c r="T233" t="inlineStr">
        <is>
          <t>[]</t>
        </is>
      </c>
      <c r="U233" t="n">
        <v>79.98</v>
      </c>
      <c r="V233" t="n">
        <v>14.4</v>
      </c>
      <c r="Y233" s="1" t="n">
        <v>46153.39662037037</v>
      </c>
    </row>
    <row r="234">
      <c r="A234" t="inlineStr">
        <is>
          <t>pay_qTwUUxb0IJQI4a</t>
        </is>
      </c>
      <c r="B234" t="n">
        <v>1499</v>
      </c>
      <c r="C234" t="inlineStr">
        <is>
          <t>INR</t>
        </is>
      </c>
      <c r="D234" t="inlineStr">
        <is>
          <t>refunded</t>
        </is>
      </c>
      <c r="E234" t="inlineStr">
        <is>
          <t>order_I6iY4WVhGFTO8U</t>
        </is>
      </c>
      <c r="G234" t="n">
        <v>0</v>
      </c>
      <c r="H234" t="inlineStr">
        <is>
          <t>upi</t>
        </is>
      </c>
      <c r="I234" t="n">
        <v>1499</v>
      </c>
      <c r="J234" t="n">
        <v>0</v>
      </c>
      <c r="K234" t="inlineStr">
        <is>
          <t>full</t>
        </is>
      </c>
      <c r="L234" t="n">
        <v>1</v>
      </c>
      <c r="R234" t="inlineStr">
        <is>
          <t>customer430@example.com</t>
        </is>
      </c>
      <c r="S234">
        <f>+919892719530</f>
        <v/>
      </c>
      <c r="T234" t="inlineStr">
        <is>
          <t>[]</t>
        </is>
      </c>
      <c r="U234" t="n">
        <v>29.98</v>
      </c>
      <c r="V234" t="n">
        <v>5.4</v>
      </c>
      <c r="Y234" s="1" t="n">
        <v>46170.16001157407</v>
      </c>
    </row>
    <row r="235">
      <c r="A235" t="inlineStr">
        <is>
          <t>pay_detWHsAEg0tuqj</t>
        </is>
      </c>
      <c r="B235" t="n">
        <v>1499</v>
      </c>
      <c r="C235" t="inlineStr">
        <is>
          <t>INR</t>
        </is>
      </c>
      <c r="D235" t="inlineStr">
        <is>
          <t>captured</t>
        </is>
      </c>
      <c r="E235" t="inlineStr">
        <is>
          <t>order_43KaMzJZi0tpcg</t>
        </is>
      </c>
      <c r="G235" t="n">
        <v>0</v>
      </c>
      <c r="H235" t="inlineStr">
        <is>
          <t>card</t>
        </is>
      </c>
      <c r="I235" t="n">
        <v>0</v>
      </c>
      <c r="J235" t="n">
        <v>0</v>
      </c>
      <c r="L235" t="n">
        <v>1</v>
      </c>
      <c r="R235" t="inlineStr">
        <is>
          <t>customer101@example.com</t>
        </is>
      </c>
      <c r="S235">
        <f>+919831532813</f>
        <v/>
      </c>
      <c r="T235" t="inlineStr">
        <is>
          <t>[]</t>
        </is>
      </c>
      <c r="U235" t="n">
        <v>29.98</v>
      </c>
      <c r="V235" t="n">
        <v>5.4</v>
      </c>
      <c r="Y235" s="1" t="n">
        <v>46170.84473379629</v>
      </c>
    </row>
    <row r="236">
      <c r="A236" t="inlineStr">
        <is>
          <t>pay_AynvWlDrJVhElO</t>
        </is>
      </c>
      <c r="B236" t="n">
        <v>1499</v>
      </c>
      <c r="C236" t="inlineStr">
        <is>
          <t>INR</t>
        </is>
      </c>
      <c r="D236" t="inlineStr">
        <is>
          <t>captured</t>
        </is>
      </c>
      <c r="E236" t="inlineStr">
        <is>
          <t>order_dfv24UNKFOEyZs</t>
        </is>
      </c>
      <c r="G236" t="n">
        <v>0</v>
      </c>
      <c r="H236" t="inlineStr">
        <is>
          <t>upi</t>
        </is>
      </c>
      <c r="I236" t="n">
        <v>0</v>
      </c>
      <c r="J236" t="n">
        <v>0</v>
      </c>
      <c r="L236" t="n">
        <v>1</v>
      </c>
      <c r="R236" t="inlineStr">
        <is>
          <t>customer695@example.com</t>
        </is>
      </c>
      <c r="S236">
        <f>+919839691751</f>
        <v/>
      </c>
      <c r="T236" t="inlineStr">
        <is>
          <t>[]</t>
        </is>
      </c>
      <c r="U236" t="n">
        <v>29.98</v>
      </c>
      <c r="V236" t="n">
        <v>5.4</v>
      </c>
      <c r="Y236" s="1" t="n">
        <v>46162.54231481482</v>
      </c>
    </row>
    <row r="237">
      <c r="A237" t="inlineStr">
        <is>
          <t>pay_FXSUqpLd6SEweI</t>
        </is>
      </c>
      <c r="B237" t="n">
        <v>999</v>
      </c>
      <c r="C237" t="inlineStr">
        <is>
          <t>INR</t>
        </is>
      </c>
      <c r="D237" t="inlineStr">
        <is>
          <t>captured</t>
        </is>
      </c>
      <c r="E237" t="inlineStr">
        <is>
          <t>order_su32XyCmC6fym0</t>
        </is>
      </c>
      <c r="G237" t="n">
        <v>0</v>
      </c>
      <c r="H237" t="inlineStr">
        <is>
          <t>upi</t>
        </is>
      </c>
      <c r="I237" t="n">
        <v>0</v>
      </c>
      <c r="J237" t="n">
        <v>0</v>
      </c>
      <c r="L237" t="n">
        <v>1</v>
      </c>
      <c r="R237" t="inlineStr">
        <is>
          <t>customer792@example.com</t>
        </is>
      </c>
      <c r="S237">
        <f>+919819811420</f>
        <v/>
      </c>
      <c r="T237" t="inlineStr">
        <is>
          <t>[]</t>
        </is>
      </c>
      <c r="U237" t="n">
        <v>19.98</v>
      </c>
      <c r="V237" t="n">
        <v>3.6</v>
      </c>
      <c r="Y237" s="1" t="n">
        <v>46166.46771990741</v>
      </c>
    </row>
    <row r="238">
      <c r="A238" t="inlineStr">
        <is>
          <t>pay_lYfhLhnSKe4QxU</t>
        </is>
      </c>
      <c r="B238" t="n">
        <v>1799</v>
      </c>
      <c r="C238" t="inlineStr">
        <is>
          <t>INR</t>
        </is>
      </c>
      <c r="D238" t="inlineStr">
        <is>
          <t>captured</t>
        </is>
      </c>
      <c r="E238" t="inlineStr">
        <is>
          <t>order_77UC8gLm1f25gO</t>
        </is>
      </c>
      <c r="G238" t="n">
        <v>0</v>
      </c>
      <c r="H238" t="inlineStr">
        <is>
          <t>upi</t>
        </is>
      </c>
      <c r="I238" t="n">
        <v>0</v>
      </c>
      <c r="J238" t="n">
        <v>0</v>
      </c>
      <c r="L238" t="n">
        <v>1</v>
      </c>
      <c r="R238" t="inlineStr">
        <is>
          <t>customer103@example.com</t>
        </is>
      </c>
      <c r="S238">
        <f>+919828291914</f>
        <v/>
      </c>
      <c r="T238" t="inlineStr">
        <is>
          <t>[]</t>
        </is>
      </c>
      <c r="U238" t="n">
        <v>35.98</v>
      </c>
      <c r="V238" t="n">
        <v>6.48</v>
      </c>
      <c r="Y238" s="1" t="n">
        <v>46148.70606481482</v>
      </c>
    </row>
    <row r="239">
      <c r="A239" t="inlineStr">
        <is>
          <t>pay_ZP78LIhu1cEidg</t>
        </is>
      </c>
      <c r="B239" t="n">
        <v>3999</v>
      </c>
      <c r="C239" t="inlineStr">
        <is>
          <t>INR</t>
        </is>
      </c>
      <c r="D239" t="inlineStr">
        <is>
          <t>captured</t>
        </is>
      </c>
      <c r="E239" t="inlineStr">
        <is>
          <t>order_tvF1UwYa079YhF</t>
        </is>
      </c>
      <c r="G239" t="n">
        <v>0</v>
      </c>
      <c r="H239" t="inlineStr">
        <is>
          <t>netbanking</t>
        </is>
      </c>
      <c r="I239" t="n">
        <v>0</v>
      </c>
      <c r="J239" t="n">
        <v>0</v>
      </c>
      <c r="L239" t="n">
        <v>1</v>
      </c>
      <c r="R239" t="inlineStr">
        <is>
          <t>customer262@example.com</t>
        </is>
      </c>
      <c r="S239">
        <f>+919837400632</f>
        <v/>
      </c>
      <c r="T239" t="inlineStr">
        <is>
          <t>[]</t>
        </is>
      </c>
      <c r="U239" t="n">
        <v>79.98</v>
      </c>
      <c r="V239" t="n">
        <v>14.4</v>
      </c>
      <c r="Y239" s="1" t="n">
        <v>46151.4678587963</v>
      </c>
    </row>
    <row r="240">
      <c r="A240" t="inlineStr">
        <is>
          <t>pay_ZA8I65xQTObQVm</t>
        </is>
      </c>
      <c r="B240" t="n">
        <v>999</v>
      </c>
      <c r="C240" t="inlineStr">
        <is>
          <t>INR</t>
        </is>
      </c>
      <c r="D240" t="inlineStr">
        <is>
          <t>captured</t>
        </is>
      </c>
      <c r="E240" t="inlineStr">
        <is>
          <t>order_5tv8QAgws6A8qc</t>
        </is>
      </c>
      <c r="G240" t="n">
        <v>0</v>
      </c>
      <c r="H240" t="inlineStr">
        <is>
          <t>card</t>
        </is>
      </c>
      <c r="I240" t="n">
        <v>0</v>
      </c>
      <c r="J240" t="n">
        <v>0</v>
      </c>
      <c r="L240" t="n">
        <v>1</v>
      </c>
      <c r="R240" t="inlineStr">
        <is>
          <t>customer98@example.com</t>
        </is>
      </c>
      <c r="S240">
        <f>+919863466824</f>
        <v/>
      </c>
      <c r="T240" t="inlineStr">
        <is>
          <t>[]</t>
        </is>
      </c>
      <c r="U240" t="n">
        <v>19.98</v>
      </c>
      <c r="V240" t="n">
        <v>3.6</v>
      </c>
      <c r="Y240" s="1" t="n">
        <v>46167.94224537037</v>
      </c>
    </row>
    <row r="241">
      <c r="A241" t="inlineStr">
        <is>
          <t>pay_Yh6PfkNs6rEF6s</t>
        </is>
      </c>
      <c r="B241" t="n">
        <v>999</v>
      </c>
      <c r="C241" t="inlineStr">
        <is>
          <t>INR</t>
        </is>
      </c>
      <c r="D241" t="inlineStr">
        <is>
          <t>captured</t>
        </is>
      </c>
      <c r="E241" t="inlineStr">
        <is>
          <t>order_0txnV1b45IvLc8</t>
        </is>
      </c>
      <c r="G241" t="n">
        <v>0</v>
      </c>
      <c r="H241" t="inlineStr">
        <is>
          <t>card</t>
        </is>
      </c>
      <c r="I241" t="n">
        <v>0</v>
      </c>
      <c r="J241" t="n">
        <v>0</v>
      </c>
      <c r="L241" t="n">
        <v>1</v>
      </c>
      <c r="R241" t="inlineStr">
        <is>
          <t>customer886@example.com</t>
        </is>
      </c>
      <c r="S241">
        <f>+919874165816</f>
        <v/>
      </c>
      <c r="T241" t="inlineStr">
        <is>
          <t>[]</t>
        </is>
      </c>
      <c r="U241" t="n">
        <v>19.98</v>
      </c>
      <c r="V241" t="n">
        <v>3.6</v>
      </c>
      <c r="Y241" s="1" t="n">
        <v>46146.27586805556</v>
      </c>
    </row>
    <row r="242">
      <c r="A242" t="inlineStr">
        <is>
          <t>pay_VTSwUCgi7PS0rQ</t>
        </is>
      </c>
      <c r="B242" t="n">
        <v>3999</v>
      </c>
      <c r="C242" t="inlineStr">
        <is>
          <t>INR</t>
        </is>
      </c>
      <c r="D242" t="inlineStr">
        <is>
          <t>captured</t>
        </is>
      </c>
      <c r="E242" t="inlineStr">
        <is>
          <t>order_smH15bAj8jayZe</t>
        </is>
      </c>
      <c r="G242" t="n">
        <v>0</v>
      </c>
      <c r="H242" t="inlineStr">
        <is>
          <t>netbanking</t>
        </is>
      </c>
      <c r="I242" t="n">
        <v>0</v>
      </c>
      <c r="J242" t="n">
        <v>0</v>
      </c>
      <c r="L242" t="n">
        <v>1</v>
      </c>
      <c r="R242" t="inlineStr">
        <is>
          <t>customer549@example.com</t>
        </is>
      </c>
      <c r="S242">
        <f>+919867129845</f>
        <v/>
      </c>
      <c r="T242" t="inlineStr">
        <is>
          <t>[]</t>
        </is>
      </c>
      <c r="U242" t="n">
        <v>79.98</v>
      </c>
      <c r="V242" t="n">
        <v>14.4</v>
      </c>
      <c r="Y242" s="1" t="n">
        <v>46170.62809027778</v>
      </c>
    </row>
    <row r="243">
      <c r="A243" t="inlineStr">
        <is>
          <t>pay_y1QYy1KG395MWS</t>
        </is>
      </c>
      <c r="B243" t="n">
        <v>1499</v>
      </c>
      <c r="C243" t="inlineStr">
        <is>
          <t>INR</t>
        </is>
      </c>
      <c r="D243" t="inlineStr">
        <is>
          <t>captured</t>
        </is>
      </c>
      <c r="E243" t="inlineStr">
        <is>
          <t>order_zieO7IHucBTjGm</t>
        </is>
      </c>
      <c r="G243" t="n">
        <v>0</v>
      </c>
      <c r="H243" t="inlineStr">
        <is>
          <t>upi</t>
        </is>
      </c>
      <c r="I243" t="n">
        <v>0</v>
      </c>
      <c r="J243" t="n">
        <v>0</v>
      </c>
      <c r="L243" t="n">
        <v>1</v>
      </c>
      <c r="R243" t="inlineStr">
        <is>
          <t>customer413@example.com</t>
        </is>
      </c>
      <c r="S243">
        <f>+919870604828</f>
        <v/>
      </c>
      <c r="T243" t="inlineStr">
        <is>
          <t>[]</t>
        </is>
      </c>
      <c r="U243" t="n">
        <v>29.98</v>
      </c>
      <c r="V243" t="n">
        <v>5.4</v>
      </c>
      <c r="Y243" s="1" t="n">
        <v>46147.06381944445</v>
      </c>
    </row>
    <row r="244">
      <c r="A244" t="inlineStr">
        <is>
          <t>pay_dd9zIKhuwTWRlC</t>
        </is>
      </c>
      <c r="B244" t="n">
        <v>499</v>
      </c>
      <c r="C244" t="inlineStr">
        <is>
          <t>INR</t>
        </is>
      </c>
      <c r="D244" t="inlineStr">
        <is>
          <t>failed</t>
        </is>
      </c>
      <c r="E244" t="inlineStr">
        <is>
          <t>order_fZVmtetGUF09Jc</t>
        </is>
      </c>
      <c r="G244" t="n">
        <v>0</v>
      </c>
      <c r="H244" t="inlineStr">
        <is>
          <t>upi</t>
        </is>
      </c>
      <c r="I244" t="n">
        <v>0</v>
      </c>
      <c r="J244" t="n">
        <v>0</v>
      </c>
      <c r="L244" t="n">
        <v>0</v>
      </c>
      <c r="R244" t="inlineStr">
        <is>
          <t>customer263@example.com</t>
        </is>
      </c>
      <c r="S244">
        <f>+919833420188</f>
        <v/>
      </c>
      <c r="T244" t="inlineStr">
        <is>
          <t>[]</t>
        </is>
      </c>
      <c r="W244" t="inlineStr">
        <is>
          <t>BAD_REQUEST_ERROR</t>
        </is>
      </c>
      <c r="X244" t="inlineStr">
        <is>
          <t>Payment was not completed on time</t>
        </is>
      </c>
      <c r="Y244" s="1" t="n">
        <v>46166.93385416667</v>
      </c>
    </row>
    <row r="245">
      <c r="A245" t="inlineStr">
        <is>
          <t>pay_Kh592AAJC1V4Qj</t>
        </is>
      </c>
      <c r="B245" t="n">
        <v>499</v>
      </c>
      <c r="C245" t="inlineStr">
        <is>
          <t>INR</t>
        </is>
      </c>
      <c r="D245" t="inlineStr">
        <is>
          <t>captured</t>
        </is>
      </c>
      <c r="E245" t="inlineStr">
        <is>
          <t>order_fZVmtetGUF09Jc</t>
        </is>
      </c>
      <c r="G245" t="n">
        <v>0</v>
      </c>
      <c r="H245" t="inlineStr">
        <is>
          <t>upi</t>
        </is>
      </c>
      <c r="I245" t="n">
        <v>0</v>
      </c>
      <c r="J245" t="n">
        <v>0</v>
      </c>
      <c r="L245" t="n">
        <v>1</v>
      </c>
      <c r="R245" t="inlineStr">
        <is>
          <t>customer618@example.com</t>
        </is>
      </c>
      <c r="S245">
        <f>+919816803419</f>
        <v/>
      </c>
      <c r="T245" t="inlineStr">
        <is>
          <t>[]</t>
        </is>
      </c>
      <c r="U245" t="n">
        <v>9.98</v>
      </c>
      <c r="V245" t="n">
        <v>1.8</v>
      </c>
      <c r="Y245" s="1" t="n">
        <v>46166.934375</v>
      </c>
    </row>
    <row r="246">
      <c r="A246" t="inlineStr">
        <is>
          <t>pay_Jn3VCkKlOBSVqR</t>
        </is>
      </c>
      <c r="B246" t="n">
        <v>1799</v>
      </c>
      <c r="C246" t="inlineStr">
        <is>
          <t>INR</t>
        </is>
      </c>
      <c r="D246" t="inlineStr">
        <is>
          <t>refunded</t>
        </is>
      </c>
      <c r="E246" t="inlineStr">
        <is>
          <t>order_zxzSBS2fb6lYzn</t>
        </is>
      </c>
      <c r="G246" t="n">
        <v>0</v>
      </c>
      <c r="H246" t="inlineStr">
        <is>
          <t>upi</t>
        </is>
      </c>
      <c r="I246" t="n">
        <v>1799</v>
      </c>
      <c r="J246" t="n">
        <v>0</v>
      </c>
      <c r="K246" t="inlineStr">
        <is>
          <t>full</t>
        </is>
      </c>
      <c r="L246" t="n">
        <v>1</v>
      </c>
      <c r="R246" t="inlineStr">
        <is>
          <t>customer188@example.com</t>
        </is>
      </c>
      <c r="S246">
        <f>+919817503303</f>
        <v/>
      </c>
      <c r="T246" t="inlineStr">
        <is>
          <t>[]</t>
        </is>
      </c>
      <c r="U246" t="n">
        <v>35.98</v>
      </c>
      <c r="V246" t="n">
        <v>6.48</v>
      </c>
      <c r="Y246" s="1" t="n">
        <v>46148.27002314815</v>
      </c>
    </row>
    <row r="247">
      <c r="A247" t="inlineStr">
        <is>
          <t>pay_YH8ayHd2jJqxCr</t>
        </is>
      </c>
      <c r="B247" t="n">
        <v>1499</v>
      </c>
      <c r="C247" t="inlineStr">
        <is>
          <t>INR</t>
        </is>
      </c>
      <c r="D247" t="inlineStr">
        <is>
          <t>failed</t>
        </is>
      </c>
      <c r="E247" t="inlineStr">
        <is>
          <t>order_eEAGyDAQvkPBB1</t>
        </is>
      </c>
      <c r="G247" t="n">
        <v>0</v>
      </c>
      <c r="H247" t="inlineStr">
        <is>
          <t>upi</t>
        </is>
      </c>
      <c r="I247" t="n">
        <v>0</v>
      </c>
      <c r="J247" t="n">
        <v>0</v>
      </c>
      <c r="L247" t="n">
        <v>0</v>
      </c>
      <c r="R247" t="inlineStr">
        <is>
          <t>customer176@example.com</t>
        </is>
      </c>
      <c r="S247">
        <f>+919869209452</f>
        <v/>
      </c>
      <c r="T247" t="inlineStr">
        <is>
          <t>[]</t>
        </is>
      </c>
      <c r="W247" t="inlineStr">
        <is>
          <t>BAD_REQUEST_ERROR</t>
        </is>
      </c>
      <c r="X247" t="inlineStr">
        <is>
          <t>Payment was not completed on time</t>
        </is>
      </c>
      <c r="Y247" s="1" t="n">
        <v>46158.98559027778</v>
      </c>
    </row>
    <row r="248">
      <c r="A248" t="inlineStr">
        <is>
          <t>pay_aU3vgfYHexTgqm</t>
        </is>
      </c>
      <c r="B248" t="n">
        <v>1499</v>
      </c>
      <c r="C248" t="inlineStr">
        <is>
          <t>INR</t>
        </is>
      </c>
      <c r="D248" t="inlineStr">
        <is>
          <t>captured</t>
        </is>
      </c>
      <c r="E248" t="inlineStr">
        <is>
          <t>order_eEAGyDAQvkPBB1</t>
        </is>
      </c>
      <c r="G248" t="n">
        <v>0</v>
      </c>
      <c r="H248" t="inlineStr">
        <is>
          <t>upi</t>
        </is>
      </c>
      <c r="I248" t="n">
        <v>0</v>
      </c>
      <c r="J248" t="n">
        <v>0</v>
      </c>
      <c r="L248" t="n">
        <v>1</v>
      </c>
      <c r="R248" t="inlineStr">
        <is>
          <t>customer225@example.com</t>
        </is>
      </c>
      <c r="S248">
        <f>+919847980723</f>
        <v/>
      </c>
      <c r="T248" t="inlineStr">
        <is>
          <t>[]</t>
        </is>
      </c>
      <c r="U248" t="n">
        <v>29.98</v>
      </c>
      <c r="V248" t="n">
        <v>5.4</v>
      </c>
      <c r="Y248" s="1" t="n">
        <v>46158.98846064815</v>
      </c>
    </row>
    <row r="249">
      <c r="A249" t="inlineStr">
        <is>
          <t>pay_FGTPOAB9VFkxmf</t>
        </is>
      </c>
      <c r="B249" t="n">
        <v>2499</v>
      </c>
      <c r="C249" t="inlineStr">
        <is>
          <t>INR</t>
        </is>
      </c>
      <c r="D249" t="inlineStr">
        <is>
          <t>captured</t>
        </is>
      </c>
      <c r="E249" t="inlineStr">
        <is>
          <t>order_TgZhSnPucvQzwo</t>
        </is>
      </c>
      <c r="G249" t="n">
        <v>0</v>
      </c>
      <c r="H249" t="inlineStr">
        <is>
          <t>netbanking</t>
        </is>
      </c>
      <c r="I249" t="n">
        <v>0</v>
      </c>
      <c r="J249" t="n">
        <v>0</v>
      </c>
      <c r="L249" t="n">
        <v>1</v>
      </c>
      <c r="R249" t="inlineStr">
        <is>
          <t>customer841@example.com</t>
        </is>
      </c>
      <c r="S249">
        <f>+919839885813</f>
        <v/>
      </c>
      <c r="T249" t="inlineStr">
        <is>
          <t>[]</t>
        </is>
      </c>
      <c r="U249" t="n">
        <v>49.98</v>
      </c>
      <c r="V249" t="n">
        <v>9</v>
      </c>
      <c r="Y249" s="1" t="n">
        <v>46164.08643518519</v>
      </c>
    </row>
    <row r="250">
      <c r="A250" t="inlineStr">
        <is>
          <t>pay_AFc3ZKCXbypLvL</t>
        </is>
      </c>
      <c r="B250" t="n">
        <v>1499</v>
      </c>
      <c r="C250" t="inlineStr">
        <is>
          <t>INR</t>
        </is>
      </c>
      <c r="D250" t="inlineStr">
        <is>
          <t>captured</t>
        </is>
      </c>
      <c r="E250" t="inlineStr">
        <is>
          <t>order_MiZNOsVGt9VQ0R</t>
        </is>
      </c>
      <c r="G250" t="n">
        <v>0</v>
      </c>
      <c r="H250" t="inlineStr">
        <is>
          <t>upi</t>
        </is>
      </c>
      <c r="I250" t="n">
        <v>0</v>
      </c>
      <c r="J250" t="n">
        <v>0</v>
      </c>
      <c r="L250" t="n">
        <v>1</v>
      </c>
      <c r="R250" t="inlineStr">
        <is>
          <t>customer414@example.com</t>
        </is>
      </c>
      <c r="S250">
        <f>+919865116101</f>
        <v/>
      </c>
      <c r="T250" t="inlineStr">
        <is>
          <t>[]</t>
        </is>
      </c>
      <c r="U250" t="n">
        <v>29.98</v>
      </c>
      <c r="V250" t="n">
        <v>5.4</v>
      </c>
      <c r="Y250" s="1" t="n">
        <v>46153.81465277778</v>
      </c>
    </row>
    <row r="251">
      <c r="A251" t="inlineStr">
        <is>
          <t>pay_AoZPr9DkUPdC6G</t>
        </is>
      </c>
      <c r="B251" t="n">
        <v>999</v>
      </c>
      <c r="C251" t="inlineStr">
        <is>
          <t>INR</t>
        </is>
      </c>
      <c r="D251" t="inlineStr">
        <is>
          <t>captured</t>
        </is>
      </c>
      <c r="E251" t="inlineStr">
        <is>
          <t>order_aZDBbga3ctDJnO</t>
        </is>
      </c>
      <c r="G251" t="n">
        <v>0</v>
      </c>
      <c r="H251" t="inlineStr">
        <is>
          <t>upi</t>
        </is>
      </c>
      <c r="I251" t="n">
        <v>0</v>
      </c>
      <c r="J251" t="n">
        <v>0</v>
      </c>
      <c r="L251" t="n">
        <v>1</v>
      </c>
      <c r="R251" t="inlineStr">
        <is>
          <t>customer110@example.com</t>
        </is>
      </c>
      <c r="S251">
        <f>+919821096119</f>
        <v/>
      </c>
      <c r="T251" t="inlineStr">
        <is>
          <t>[]</t>
        </is>
      </c>
      <c r="U251" t="n">
        <v>19.98</v>
      </c>
      <c r="V251" t="n">
        <v>3.6</v>
      </c>
      <c r="Y251" s="1" t="n">
        <v>46143.11393518518</v>
      </c>
    </row>
    <row r="252">
      <c r="A252" t="inlineStr">
        <is>
          <t>pay_crNFcu81HkfoZX</t>
        </is>
      </c>
      <c r="B252" t="n">
        <v>499</v>
      </c>
      <c r="C252" t="inlineStr">
        <is>
          <t>INR</t>
        </is>
      </c>
      <c r="D252" t="inlineStr">
        <is>
          <t>failed</t>
        </is>
      </c>
      <c r="E252" t="inlineStr">
        <is>
          <t>order_uVL4fCbkzCZCYA</t>
        </is>
      </c>
      <c r="G252" t="n">
        <v>0</v>
      </c>
      <c r="H252" t="inlineStr">
        <is>
          <t>card</t>
        </is>
      </c>
      <c r="I252" t="n">
        <v>0</v>
      </c>
      <c r="J252" t="n">
        <v>0</v>
      </c>
      <c r="L252" t="n">
        <v>0</v>
      </c>
      <c r="R252" t="inlineStr">
        <is>
          <t>customer120@example.com</t>
        </is>
      </c>
      <c r="S252">
        <f>+919872676913</f>
        <v/>
      </c>
      <c r="T252" t="inlineStr">
        <is>
          <t>[]</t>
        </is>
      </c>
      <c r="W252" t="inlineStr">
        <is>
          <t>BAD_REQUEST_ERROR</t>
        </is>
      </c>
      <c r="X252" t="inlineStr">
        <is>
          <t>Card declined by bank</t>
        </is>
      </c>
      <c r="Y252" s="1" t="n">
        <v>46168.90690972222</v>
      </c>
    </row>
    <row r="253">
      <c r="A253" t="inlineStr">
        <is>
          <t>pay_dx65pJCUUQgv8c</t>
        </is>
      </c>
      <c r="B253" t="n">
        <v>1799</v>
      </c>
      <c r="C253" t="inlineStr">
        <is>
          <t>INR</t>
        </is>
      </c>
      <c r="D253" t="inlineStr">
        <is>
          <t>captured</t>
        </is>
      </c>
      <c r="E253" t="inlineStr">
        <is>
          <t>order_wSnqWBlgRRVenh</t>
        </is>
      </c>
      <c r="G253" t="n">
        <v>0</v>
      </c>
      <c r="H253" t="inlineStr">
        <is>
          <t>card</t>
        </is>
      </c>
      <c r="I253" t="n">
        <v>0</v>
      </c>
      <c r="J253" t="n">
        <v>0</v>
      </c>
      <c r="L253" t="n">
        <v>1</v>
      </c>
      <c r="R253" t="inlineStr">
        <is>
          <t>customer804@example.com</t>
        </is>
      </c>
      <c r="S253">
        <f>+919850487689</f>
        <v/>
      </c>
      <c r="T253" t="inlineStr">
        <is>
          <t>[]</t>
        </is>
      </c>
      <c r="U253" t="n">
        <v>35.98</v>
      </c>
      <c r="V253" t="n">
        <v>6.48</v>
      </c>
      <c r="Y253" s="1" t="n">
        <v>46150.35650462963</v>
      </c>
    </row>
    <row r="254">
      <c r="A254" t="inlineStr">
        <is>
          <t>pay_79LqjFGVi78gGc</t>
        </is>
      </c>
      <c r="B254" t="n">
        <v>2499</v>
      </c>
      <c r="C254" t="inlineStr">
        <is>
          <t>INR</t>
        </is>
      </c>
      <c r="D254" t="inlineStr">
        <is>
          <t>captured</t>
        </is>
      </c>
      <c r="E254" t="inlineStr">
        <is>
          <t>order_65jbBTH79Qqyey</t>
        </is>
      </c>
      <c r="G254" t="n">
        <v>0</v>
      </c>
      <c r="H254" t="inlineStr">
        <is>
          <t>upi</t>
        </is>
      </c>
      <c r="I254" t="n">
        <v>0</v>
      </c>
      <c r="J254" t="n">
        <v>0</v>
      </c>
      <c r="L254" t="n">
        <v>1</v>
      </c>
      <c r="R254" t="inlineStr">
        <is>
          <t>customer767@example.com</t>
        </is>
      </c>
      <c r="S254">
        <f>+919854944189</f>
        <v/>
      </c>
      <c r="T254" t="inlineStr">
        <is>
          <t>[]</t>
        </is>
      </c>
      <c r="U254" t="n">
        <v>49.98</v>
      </c>
      <c r="V254" t="n">
        <v>9</v>
      </c>
      <c r="Y254" s="1" t="n">
        <v>46158.65004629629</v>
      </c>
    </row>
    <row r="255">
      <c r="A255" t="inlineStr">
        <is>
          <t>pay_1F71zvAVCS9UFU</t>
        </is>
      </c>
      <c r="B255" t="n">
        <v>1799</v>
      </c>
      <c r="C255" t="inlineStr">
        <is>
          <t>INR</t>
        </is>
      </c>
      <c r="D255" t="inlineStr">
        <is>
          <t>captured</t>
        </is>
      </c>
      <c r="E255" t="inlineStr">
        <is>
          <t>order_AZITJRyjwuaVGD</t>
        </is>
      </c>
      <c r="G255" t="n">
        <v>0</v>
      </c>
      <c r="H255" t="inlineStr">
        <is>
          <t>upi</t>
        </is>
      </c>
      <c r="I255" t="n">
        <v>0</v>
      </c>
      <c r="J255" t="n">
        <v>0</v>
      </c>
      <c r="L255" t="n">
        <v>1</v>
      </c>
      <c r="R255" t="inlineStr">
        <is>
          <t>customer506@example.com</t>
        </is>
      </c>
      <c r="S255">
        <f>+919887962576</f>
        <v/>
      </c>
      <c r="T255" t="inlineStr">
        <is>
          <t>[]</t>
        </is>
      </c>
      <c r="U255" t="n">
        <v>35.98</v>
      </c>
      <c r="V255" t="n">
        <v>6.48</v>
      </c>
      <c r="Y255" s="1" t="n">
        <v>46149.48541666667</v>
      </c>
    </row>
    <row r="256">
      <c r="A256" t="inlineStr">
        <is>
          <t>pay_ZlFzk0vfsUQlAo</t>
        </is>
      </c>
      <c r="B256" t="n">
        <v>1499</v>
      </c>
      <c r="C256" t="inlineStr">
        <is>
          <t>INR</t>
        </is>
      </c>
      <c r="D256" t="inlineStr">
        <is>
          <t>captured</t>
        </is>
      </c>
      <c r="E256" t="inlineStr">
        <is>
          <t>order_59JIgJ5pWpSrKW</t>
        </is>
      </c>
      <c r="G256" t="n">
        <v>0</v>
      </c>
      <c r="H256" t="inlineStr">
        <is>
          <t>upi</t>
        </is>
      </c>
      <c r="I256" t="n">
        <v>0</v>
      </c>
      <c r="J256" t="n">
        <v>0</v>
      </c>
      <c r="L256" t="n">
        <v>1</v>
      </c>
      <c r="R256" t="inlineStr">
        <is>
          <t>customer308@example.com</t>
        </is>
      </c>
      <c r="S256">
        <f>+919841736727</f>
        <v/>
      </c>
      <c r="T256" t="inlineStr">
        <is>
          <t>[]</t>
        </is>
      </c>
      <c r="U256" t="n">
        <v>29.98</v>
      </c>
      <c r="V256" t="n">
        <v>5.4</v>
      </c>
      <c r="Y256" s="1" t="n">
        <v>46154.22916666666</v>
      </c>
    </row>
    <row r="257">
      <c r="A257" t="inlineStr">
        <is>
          <t>pay_lpEioTbLzSqDna</t>
        </is>
      </c>
      <c r="B257" t="n">
        <v>999</v>
      </c>
      <c r="C257" t="inlineStr">
        <is>
          <t>INR</t>
        </is>
      </c>
      <c r="D257" t="inlineStr">
        <is>
          <t>captured</t>
        </is>
      </c>
      <c r="E257" t="inlineStr">
        <is>
          <t>order_8H5PnTMxQVQn74</t>
        </is>
      </c>
      <c r="G257" t="n">
        <v>0</v>
      </c>
      <c r="H257" t="inlineStr">
        <is>
          <t>upi</t>
        </is>
      </c>
      <c r="I257" t="n">
        <v>0</v>
      </c>
      <c r="J257" t="n">
        <v>0</v>
      </c>
      <c r="L257" t="n">
        <v>1</v>
      </c>
      <c r="R257" t="inlineStr">
        <is>
          <t>customer886@example.com</t>
        </is>
      </c>
      <c r="S257">
        <f>+919853428644</f>
        <v/>
      </c>
      <c r="T257" t="inlineStr">
        <is>
          <t>[]</t>
        </is>
      </c>
      <c r="U257" t="n">
        <v>19.98</v>
      </c>
      <c r="V257" t="n">
        <v>3.6</v>
      </c>
      <c r="Y257" s="1" t="n">
        <v>46154.62376157408</v>
      </c>
    </row>
    <row r="258">
      <c r="A258" t="inlineStr">
        <is>
          <t>pay_BdNkOkH5dKtCbc</t>
        </is>
      </c>
      <c r="B258" t="n">
        <v>2499</v>
      </c>
      <c r="C258" t="inlineStr">
        <is>
          <t>INR</t>
        </is>
      </c>
      <c r="D258" t="inlineStr">
        <is>
          <t>captured</t>
        </is>
      </c>
      <c r="E258" t="inlineStr">
        <is>
          <t>order_7AyneXQrz5loyU</t>
        </is>
      </c>
      <c r="G258" t="n">
        <v>0</v>
      </c>
      <c r="H258" t="inlineStr">
        <is>
          <t>card</t>
        </is>
      </c>
      <c r="I258" t="n">
        <v>0</v>
      </c>
      <c r="J258" t="n">
        <v>0</v>
      </c>
      <c r="L258" t="n">
        <v>1</v>
      </c>
      <c r="R258" t="inlineStr">
        <is>
          <t>customer873@example.com</t>
        </is>
      </c>
      <c r="S258">
        <f>+919845730621</f>
        <v/>
      </c>
      <c r="T258" t="inlineStr">
        <is>
          <t>[]</t>
        </is>
      </c>
      <c r="U258" t="n">
        <v>49.98</v>
      </c>
      <c r="V258" t="n">
        <v>9</v>
      </c>
      <c r="Y258" s="1" t="n">
        <v>46160.79575231481</v>
      </c>
    </row>
    <row r="259">
      <c r="A259" t="inlineStr">
        <is>
          <t>pay_3Z5iAZtpbHInqN</t>
        </is>
      </c>
      <c r="B259" t="n">
        <v>999</v>
      </c>
      <c r="C259" t="inlineStr">
        <is>
          <t>INR</t>
        </is>
      </c>
      <c r="D259" t="inlineStr">
        <is>
          <t>captured</t>
        </is>
      </c>
      <c r="E259" t="inlineStr">
        <is>
          <t>order_VAj2jojIWb5RZA</t>
        </is>
      </c>
      <c r="G259" t="n">
        <v>0</v>
      </c>
      <c r="H259" t="inlineStr">
        <is>
          <t>upi</t>
        </is>
      </c>
      <c r="I259" t="n">
        <v>0</v>
      </c>
      <c r="J259" t="n">
        <v>0</v>
      </c>
      <c r="L259" t="n">
        <v>1</v>
      </c>
      <c r="R259" t="inlineStr">
        <is>
          <t>customer177@example.com</t>
        </is>
      </c>
      <c r="S259">
        <f>+919817473084</f>
        <v/>
      </c>
      <c r="T259" t="inlineStr">
        <is>
          <t>[]</t>
        </is>
      </c>
      <c r="U259" t="n">
        <v>19.98</v>
      </c>
      <c r="V259" t="n">
        <v>3.6</v>
      </c>
      <c r="Y259" s="1" t="n">
        <v>46163.00165509259</v>
      </c>
    </row>
    <row r="260">
      <c r="A260" t="inlineStr">
        <is>
          <t>pay_WLg5AK8vQJMzYF</t>
        </is>
      </c>
      <c r="B260" t="n">
        <v>999</v>
      </c>
      <c r="C260" t="inlineStr">
        <is>
          <t>INR</t>
        </is>
      </c>
      <c r="D260" t="inlineStr">
        <is>
          <t>captured</t>
        </is>
      </c>
      <c r="E260" t="inlineStr">
        <is>
          <t>order_LHchzjHKM2LVh2</t>
        </is>
      </c>
      <c r="G260" t="n">
        <v>0</v>
      </c>
      <c r="H260" t="inlineStr">
        <is>
          <t>card</t>
        </is>
      </c>
      <c r="I260" t="n">
        <v>0</v>
      </c>
      <c r="J260" t="n">
        <v>0</v>
      </c>
      <c r="L260" t="n">
        <v>1</v>
      </c>
      <c r="R260" t="inlineStr">
        <is>
          <t>customer442@example.com</t>
        </is>
      </c>
      <c r="S260">
        <f>+919892370746</f>
        <v/>
      </c>
      <c r="T260" t="inlineStr">
        <is>
          <t>[]</t>
        </is>
      </c>
      <c r="U260" t="n">
        <v>19.98</v>
      </c>
      <c r="V260" t="n">
        <v>3.6</v>
      </c>
      <c r="Y260" s="1" t="n">
        <v>46144.94674768519</v>
      </c>
    </row>
    <row r="261">
      <c r="A261" t="inlineStr">
        <is>
          <t>pay_6wJKw4EDbB4aNf</t>
        </is>
      </c>
      <c r="B261" t="n">
        <v>1799</v>
      </c>
      <c r="C261" t="inlineStr">
        <is>
          <t>INR</t>
        </is>
      </c>
      <c r="D261" t="inlineStr">
        <is>
          <t>captured</t>
        </is>
      </c>
      <c r="E261" t="inlineStr">
        <is>
          <t>order_lutH92zzpUxlWS</t>
        </is>
      </c>
      <c r="G261" t="n">
        <v>0</v>
      </c>
      <c r="H261" t="inlineStr">
        <is>
          <t>upi</t>
        </is>
      </c>
      <c r="I261" t="n">
        <v>0</v>
      </c>
      <c r="J261" t="n">
        <v>0</v>
      </c>
      <c r="L261" t="n">
        <v>1</v>
      </c>
      <c r="R261" t="inlineStr">
        <is>
          <t>customer542@example.com</t>
        </is>
      </c>
      <c r="S261">
        <f>+919855283519</f>
        <v/>
      </c>
      <c r="T261" t="inlineStr">
        <is>
          <t>[]</t>
        </is>
      </c>
      <c r="U261" t="n">
        <v>35.98</v>
      </c>
      <c r="V261" t="n">
        <v>6.48</v>
      </c>
      <c r="Y261" s="1" t="n">
        <v>46152.2878125</v>
      </c>
    </row>
    <row r="262">
      <c r="A262" t="inlineStr">
        <is>
          <t>pay_XJsahZ77r6Bw4Y</t>
        </is>
      </c>
      <c r="B262" t="n">
        <v>3999</v>
      </c>
      <c r="C262" t="inlineStr">
        <is>
          <t>INR</t>
        </is>
      </c>
      <c r="D262" t="inlineStr">
        <is>
          <t>failed</t>
        </is>
      </c>
      <c r="E262" t="inlineStr">
        <is>
          <t>order_v74rV4nyVJ4ABk</t>
        </is>
      </c>
      <c r="G262" t="n">
        <v>0</v>
      </c>
      <c r="H262" t="inlineStr">
        <is>
          <t>upi</t>
        </is>
      </c>
      <c r="I262" t="n">
        <v>0</v>
      </c>
      <c r="J262" t="n">
        <v>0</v>
      </c>
      <c r="L262" t="n">
        <v>0</v>
      </c>
      <c r="R262" t="inlineStr">
        <is>
          <t>customer695@example.com</t>
        </is>
      </c>
      <c r="S262">
        <f>+919849868143</f>
        <v/>
      </c>
      <c r="T262" t="inlineStr">
        <is>
          <t>[]</t>
        </is>
      </c>
      <c r="W262" t="inlineStr">
        <is>
          <t>BAD_REQUEST_ERROR</t>
        </is>
      </c>
      <c r="X262" t="inlineStr">
        <is>
          <t>UPI app declined the request</t>
        </is>
      </c>
      <c r="Y262" s="1" t="n">
        <v>46168.51336805556</v>
      </c>
    </row>
    <row r="263">
      <c r="A263" t="inlineStr">
        <is>
          <t>pay_8Y58wHzWkoBH9u</t>
        </is>
      </c>
      <c r="B263" t="n">
        <v>999</v>
      </c>
      <c r="C263" t="inlineStr">
        <is>
          <t>INR</t>
        </is>
      </c>
      <c r="D263" t="inlineStr">
        <is>
          <t>failed</t>
        </is>
      </c>
      <c r="E263" t="inlineStr">
        <is>
          <t>order_qlJtn2waaIbIbD</t>
        </is>
      </c>
      <c r="G263" t="n">
        <v>0</v>
      </c>
      <c r="H263" t="inlineStr">
        <is>
          <t>upi</t>
        </is>
      </c>
      <c r="I263" t="n">
        <v>0</v>
      </c>
      <c r="J263" t="n">
        <v>0</v>
      </c>
      <c r="L263" t="n">
        <v>0</v>
      </c>
      <c r="R263" t="inlineStr">
        <is>
          <t>customer5@example.com</t>
        </is>
      </c>
      <c r="S263">
        <f>+919862063035</f>
        <v/>
      </c>
      <c r="T263" t="inlineStr">
        <is>
          <t>[]</t>
        </is>
      </c>
      <c r="W263" t="inlineStr">
        <is>
          <t>BAD_REQUEST_ERROR</t>
        </is>
      </c>
      <c r="X263" t="inlineStr">
        <is>
          <t>Payment was not completed on time</t>
        </is>
      </c>
      <c r="Y263" s="1" t="n">
        <v>46159.44863425926</v>
      </c>
    </row>
    <row r="264">
      <c r="A264" t="inlineStr">
        <is>
          <t>pay_rsxz8GIyHYGFvl</t>
        </is>
      </c>
      <c r="B264" t="n">
        <v>1799</v>
      </c>
      <c r="C264" t="inlineStr">
        <is>
          <t>INR</t>
        </is>
      </c>
      <c r="D264" t="inlineStr">
        <is>
          <t>captured</t>
        </is>
      </c>
      <c r="E264" t="inlineStr">
        <is>
          <t>order_0uL78JuOTQPxSv</t>
        </is>
      </c>
      <c r="G264" t="n">
        <v>0</v>
      </c>
      <c r="H264" t="inlineStr">
        <is>
          <t>upi</t>
        </is>
      </c>
      <c r="I264" t="n">
        <v>0</v>
      </c>
      <c r="J264" t="n">
        <v>0</v>
      </c>
      <c r="L264" t="n">
        <v>1</v>
      </c>
      <c r="R264" t="inlineStr">
        <is>
          <t>customer219@example.com</t>
        </is>
      </c>
      <c r="S264">
        <f>+919827813183</f>
        <v/>
      </c>
      <c r="T264" t="inlineStr">
        <is>
          <t>[]</t>
        </is>
      </c>
      <c r="U264" t="n">
        <v>35.98</v>
      </c>
      <c r="V264" t="n">
        <v>6.48</v>
      </c>
      <c r="Y264" s="1" t="n">
        <v>46153.30516203704</v>
      </c>
    </row>
    <row r="265">
      <c r="A265" t="inlineStr">
        <is>
          <t>pay_BUPx0stRpDUnuG</t>
        </is>
      </c>
      <c r="B265" t="n">
        <v>499</v>
      </c>
      <c r="C265" t="inlineStr">
        <is>
          <t>INR</t>
        </is>
      </c>
      <c r="D265" t="inlineStr">
        <is>
          <t>captured</t>
        </is>
      </c>
      <c r="E265" t="inlineStr">
        <is>
          <t>order_cHf5oFsb6sM2Wi</t>
        </is>
      </c>
      <c r="G265" t="n">
        <v>0</v>
      </c>
      <c r="H265" t="inlineStr">
        <is>
          <t>upi</t>
        </is>
      </c>
      <c r="I265" t="n">
        <v>0</v>
      </c>
      <c r="J265" t="n">
        <v>0</v>
      </c>
      <c r="L265" t="n">
        <v>1</v>
      </c>
      <c r="R265" t="inlineStr">
        <is>
          <t>customer638@example.com</t>
        </is>
      </c>
      <c r="S265">
        <f>+919893253126</f>
        <v/>
      </c>
      <c r="T265" t="inlineStr">
        <is>
          <t>[]</t>
        </is>
      </c>
      <c r="U265" t="n">
        <v>9.98</v>
      </c>
      <c r="V265" t="n">
        <v>1.8</v>
      </c>
      <c r="Y265" s="1" t="n">
        <v>46147.33523148148</v>
      </c>
    </row>
    <row r="266">
      <c r="A266" t="inlineStr">
        <is>
          <t>pay_uMC5GKPDEPL9sE</t>
        </is>
      </c>
      <c r="B266" t="n">
        <v>2499</v>
      </c>
      <c r="C266" t="inlineStr">
        <is>
          <t>INR</t>
        </is>
      </c>
      <c r="D266" t="inlineStr">
        <is>
          <t>captured</t>
        </is>
      </c>
      <c r="E266" t="inlineStr">
        <is>
          <t>order_gq3KyednMdFYar</t>
        </is>
      </c>
      <c r="G266" t="n">
        <v>0</v>
      </c>
      <c r="H266" t="inlineStr">
        <is>
          <t>upi</t>
        </is>
      </c>
      <c r="I266" t="n">
        <v>0</v>
      </c>
      <c r="J266" t="n">
        <v>0</v>
      </c>
      <c r="L266" t="n">
        <v>1</v>
      </c>
      <c r="R266" t="inlineStr">
        <is>
          <t>customer842@example.com</t>
        </is>
      </c>
      <c r="S266">
        <f>+919841036192</f>
        <v/>
      </c>
      <c r="T266" t="inlineStr">
        <is>
          <t>[]</t>
        </is>
      </c>
      <c r="U266" t="n">
        <v>49.98</v>
      </c>
      <c r="V266" t="n">
        <v>9</v>
      </c>
      <c r="Y266" s="1" t="n">
        <v>46150.06383101852</v>
      </c>
    </row>
    <row r="267">
      <c r="A267" t="inlineStr">
        <is>
          <t>pay_cdF5RBqiOVyfrR</t>
        </is>
      </c>
      <c r="B267" t="n">
        <v>3999</v>
      </c>
      <c r="C267" t="inlineStr">
        <is>
          <t>INR</t>
        </is>
      </c>
      <c r="D267" t="inlineStr">
        <is>
          <t>captured</t>
        </is>
      </c>
      <c r="E267" t="inlineStr">
        <is>
          <t>order_sO5khXIf9WVVdk</t>
        </is>
      </c>
      <c r="G267" t="n">
        <v>0</v>
      </c>
      <c r="H267" t="inlineStr">
        <is>
          <t>upi</t>
        </is>
      </c>
      <c r="I267" t="n">
        <v>0</v>
      </c>
      <c r="J267" t="n">
        <v>0</v>
      </c>
      <c r="L267" t="n">
        <v>1</v>
      </c>
      <c r="R267" t="inlineStr">
        <is>
          <t>customer790@example.com</t>
        </is>
      </c>
      <c r="S267">
        <f>+919810674575</f>
        <v/>
      </c>
      <c r="T267" t="inlineStr">
        <is>
          <t>[]</t>
        </is>
      </c>
      <c r="U267" t="n">
        <v>79.98</v>
      </c>
      <c r="V267" t="n">
        <v>14.4</v>
      </c>
      <c r="Y267" s="1" t="n">
        <v>46169.90053240741</v>
      </c>
    </row>
    <row r="268">
      <c r="A268" t="inlineStr">
        <is>
          <t>pay_PdtKzne1PsD2iN</t>
        </is>
      </c>
      <c r="B268" t="n">
        <v>999</v>
      </c>
      <c r="C268" t="inlineStr">
        <is>
          <t>INR</t>
        </is>
      </c>
      <c r="D268" t="inlineStr">
        <is>
          <t>failed</t>
        </is>
      </c>
      <c r="E268" t="inlineStr">
        <is>
          <t>order_qkeyGoyY3vckxl</t>
        </is>
      </c>
      <c r="G268" t="n">
        <v>0</v>
      </c>
      <c r="H268" t="inlineStr">
        <is>
          <t>netbanking</t>
        </is>
      </c>
      <c r="I268" t="n">
        <v>0</v>
      </c>
      <c r="J268" t="n">
        <v>0</v>
      </c>
      <c r="L268" t="n">
        <v>0</v>
      </c>
      <c r="R268" t="inlineStr">
        <is>
          <t>customer239@example.com</t>
        </is>
      </c>
      <c r="S268">
        <f>+919825157761</f>
        <v/>
      </c>
      <c r="T268" t="inlineStr">
        <is>
          <t>[]</t>
        </is>
      </c>
      <c r="W268" t="inlineStr">
        <is>
          <t>BAD_REQUEST_ERROR</t>
        </is>
      </c>
      <c r="X268" t="inlineStr">
        <is>
          <t>Payment cancelled by user</t>
        </is>
      </c>
      <c r="Y268" s="1" t="n">
        <v>46162.43942129629</v>
      </c>
    </row>
    <row r="269">
      <c r="A269" t="inlineStr">
        <is>
          <t>pay_49YFUQBGhpvwOo</t>
        </is>
      </c>
      <c r="B269" t="n">
        <v>999</v>
      </c>
      <c r="C269" t="inlineStr">
        <is>
          <t>INR</t>
        </is>
      </c>
      <c r="D269" t="inlineStr">
        <is>
          <t>captured</t>
        </is>
      </c>
      <c r="E269" t="inlineStr">
        <is>
          <t>order_y6B3FIFFXhr0F5</t>
        </is>
      </c>
      <c r="G269" t="n">
        <v>0</v>
      </c>
      <c r="H269" t="inlineStr">
        <is>
          <t>card</t>
        </is>
      </c>
      <c r="I269" t="n">
        <v>0</v>
      </c>
      <c r="J269" t="n">
        <v>0</v>
      </c>
      <c r="L269" t="n">
        <v>1</v>
      </c>
      <c r="R269" t="inlineStr">
        <is>
          <t>customer244@example.com</t>
        </is>
      </c>
      <c r="S269">
        <f>+919867314449</f>
        <v/>
      </c>
      <c r="T269" t="inlineStr">
        <is>
          <t>[]</t>
        </is>
      </c>
      <c r="U269" t="n">
        <v>19.98</v>
      </c>
      <c r="V269" t="n">
        <v>3.6</v>
      </c>
      <c r="Y269" s="1" t="n">
        <v>46167.63958333333</v>
      </c>
    </row>
    <row r="270">
      <c r="A270" t="inlineStr">
        <is>
          <t>pay_UVAVZQY7c6CWTg</t>
        </is>
      </c>
      <c r="B270" t="n">
        <v>2499</v>
      </c>
      <c r="C270" t="inlineStr">
        <is>
          <t>INR</t>
        </is>
      </c>
      <c r="D270" t="inlineStr">
        <is>
          <t>captured</t>
        </is>
      </c>
      <c r="E270" t="inlineStr">
        <is>
          <t>order_5WmEZXoDKapTPB</t>
        </is>
      </c>
      <c r="G270" t="n">
        <v>0</v>
      </c>
      <c r="H270" t="inlineStr">
        <is>
          <t>netbanking</t>
        </is>
      </c>
      <c r="I270" t="n">
        <v>0</v>
      </c>
      <c r="J270" t="n">
        <v>0</v>
      </c>
      <c r="L270" t="n">
        <v>1</v>
      </c>
      <c r="R270" t="inlineStr">
        <is>
          <t>customer601@example.com</t>
        </is>
      </c>
      <c r="S270">
        <f>+919821966438</f>
        <v/>
      </c>
      <c r="T270" t="inlineStr">
        <is>
          <t>[]</t>
        </is>
      </c>
      <c r="U270" t="n">
        <v>49.98</v>
      </c>
      <c r="V270" t="n">
        <v>9</v>
      </c>
      <c r="Y270" s="1" t="n">
        <v>46171.3146875</v>
      </c>
    </row>
    <row r="271">
      <c r="A271" t="inlineStr">
        <is>
          <t>pay_5bft1xki2HWDmh</t>
        </is>
      </c>
      <c r="B271" t="n">
        <v>999</v>
      </c>
      <c r="C271" t="inlineStr">
        <is>
          <t>INR</t>
        </is>
      </c>
      <c r="D271" t="inlineStr">
        <is>
          <t>refunded</t>
        </is>
      </c>
      <c r="E271" t="inlineStr">
        <is>
          <t>order_UGfrGyWVoarN34</t>
        </is>
      </c>
      <c r="G271" t="n">
        <v>0</v>
      </c>
      <c r="H271" t="inlineStr">
        <is>
          <t>upi</t>
        </is>
      </c>
      <c r="I271" t="n">
        <v>999</v>
      </c>
      <c r="J271" t="n">
        <v>0</v>
      </c>
      <c r="K271" t="inlineStr">
        <is>
          <t>full</t>
        </is>
      </c>
      <c r="L271" t="n">
        <v>1</v>
      </c>
      <c r="R271" t="inlineStr">
        <is>
          <t>customer92@example.com</t>
        </is>
      </c>
      <c r="S271">
        <f>+919855818770</f>
        <v/>
      </c>
      <c r="T271" t="inlineStr">
        <is>
          <t>[]</t>
        </is>
      </c>
      <c r="U271" t="n">
        <v>19.98</v>
      </c>
      <c r="V271" t="n">
        <v>3.6</v>
      </c>
      <c r="Y271" s="1" t="n">
        <v>46156.85539351852</v>
      </c>
    </row>
    <row r="272">
      <c r="A272" t="inlineStr">
        <is>
          <t>pay_pyLOBv2nPCnF9g</t>
        </is>
      </c>
      <c r="B272" t="n">
        <v>1799</v>
      </c>
      <c r="C272" t="inlineStr">
        <is>
          <t>INR</t>
        </is>
      </c>
      <c r="D272" t="inlineStr">
        <is>
          <t>captured</t>
        </is>
      </c>
      <c r="E272" t="inlineStr">
        <is>
          <t>order_jl2CXnDoXLyxnn</t>
        </is>
      </c>
      <c r="G272" t="n">
        <v>0</v>
      </c>
      <c r="H272" t="inlineStr">
        <is>
          <t>upi</t>
        </is>
      </c>
      <c r="I272" t="n">
        <v>0</v>
      </c>
      <c r="J272" t="n">
        <v>0</v>
      </c>
      <c r="L272" t="n">
        <v>1</v>
      </c>
      <c r="R272" t="inlineStr">
        <is>
          <t>customer565@example.com</t>
        </is>
      </c>
      <c r="S272">
        <f>+919890764992</f>
        <v/>
      </c>
      <c r="T272" t="inlineStr">
        <is>
          <t>[]</t>
        </is>
      </c>
      <c r="U272" t="n">
        <v>35.98</v>
      </c>
      <c r="V272" t="n">
        <v>6.48</v>
      </c>
      <c r="Y272" s="1" t="n">
        <v>46148.90315972222</v>
      </c>
    </row>
    <row r="273">
      <c r="A273" t="inlineStr">
        <is>
          <t>pay_BIhDskGRGEPA8n</t>
        </is>
      </c>
      <c r="B273" t="n">
        <v>1499</v>
      </c>
      <c r="C273" t="inlineStr">
        <is>
          <t>INR</t>
        </is>
      </c>
      <c r="D273" t="inlineStr">
        <is>
          <t>captured</t>
        </is>
      </c>
      <c r="E273" t="inlineStr">
        <is>
          <t>order_PWzxenMYi84wHP</t>
        </is>
      </c>
      <c r="G273" t="n">
        <v>0</v>
      </c>
      <c r="H273" t="inlineStr">
        <is>
          <t>netbanking</t>
        </is>
      </c>
      <c r="I273" t="n">
        <v>0</v>
      </c>
      <c r="J273" t="n">
        <v>0</v>
      </c>
      <c r="L273" t="n">
        <v>1</v>
      </c>
      <c r="R273" t="inlineStr">
        <is>
          <t>customer9@example.com</t>
        </is>
      </c>
      <c r="S273">
        <f>+919886306856</f>
        <v/>
      </c>
      <c r="T273" t="inlineStr">
        <is>
          <t>[]</t>
        </is>
      </c>
      <c r="U273" t="n">
        <v>29.98</v>
      </c>
      <c r="V273" t="n">
        <v>5.4</v>
      </c>
      <c r="Y273" s="1" t="n">
        <v>46167.4403125</v>
      </c>
    </row>
    <row r="274">
      <c r="A274" t="inlineStr">
        <is>
          <t>pay_QkRdf1FB8WnRxC</t>
        </is>
      </c>
      <c r="B274" t="n">
        <v>1499</v>
      </c>
      <c r="C274" t="inlineStr">
        <is>
          <t>INR</t>
        </is>
      </c>
      <c r="D274" t="inlineStr">
        <is>
          <t>refunded</t>
        </is>
      </c>
      <c r="E274" t="inlineStr">
        <is>
          <t>order_yvpX1rJCiTG944</t>
        </is>
      </c>
      <c r="G274" t="n">
        <v>0</v>
      </c>
      <c r="H274" t="inlineStr">
        <is>
          <t>upi</t>
        </is>
      </c>
      <c r="I274" t="n">
        <v>1499</v>
      </c>
      <c r="J274" t="n">
        <v>0</v>
      </c>
      <c r="K274" t="inlineStr">
        <is>
          <t>full</t>
        </is>
      </c>
      <c r="L274" t="n">
        <v>1</v>
      </c>
      <c r="R274" t="inlineStr">
        <is>
          <t>customer321@example.com</t>
        </is>
      </c>
      <c r="S274">
        <f>+919840475533</f>
        <v/>
      </c>
      <c r="T274" t="inlineStr">
        <is>
          <t>[]</t>
        </is>
      </c>
      <c r="U274" t="n">
        <v>29.98</v>
      </c>
      <c r="V274" t="n">
        <v>5.4</v>
      </c>
      <c r="Y274" s="1" t="n">
        <v>46169.16778935185</v>
      </c>
    </row>
    <row r="275">
      <c r="A275" t="inlineStr">
        <is>
          <t>pay_6XZ8v4aXfEBeNW</t>
        </is>
      </c>
      <c r="B275" t="n">
        <v>999</v>
      </c>
      <c r="C275" t="inlineStr">
        <is>
          <t>INR</t>
        </is>
      </c>
      <c r="D275" t="inlineStr">
        <is>
          <t>captured</t>
        </is>
      </c>
      <c r="E275" t="inlineStr">
        <is>
          <t>order_ql2xIYQj750uZN</t>
        </is>
      </c>
      <c r="G275" t="n">
        <v>0</v>
      </c>
      <c r="H275" t="inlineStr">
        <is>
          <t>card</t>
        </is>
      </c>
      <c r="I275" t="n">
        <v>0</v>
      </c>
      <c r="J275" t="n">
        <v>0</v>
      </c>
      <c r="L275" t="n">
        <v>1</v>
      </c>
      <c r="R275" t="inlineStr">
        <is>
          <t>customer229@example.com</t>
        </is>
      </c>
      <c r="S275">
        <f>+919816765107</f>
        <v/>
      </c>
      <c r="T275" t="inlineStr">
        <is>
          <t>[]</t>
        </is>
      </c>
      <c r="U275" t="n">
        <v>19.98</v>
      </c>
      <c r="V275" t="n">
        <v>3.6</v>
      </c>
      <c r="Y275" s="1" t="n">
        <v>46160.88878472222</v>
      </c>
    </row>
    <row r="276">
      <c r="A276" t="inlineStr">
        <is>
          <t>pay_ldferJOrFuJgMa</t>
        </is>
      </c>
      <c r="B276" t="n">
        <v>1799</v>
      </c>
      <c r="C276" t="inlineStr">
        <is>
          <t>INR</t>
        </is>
      </c>
      <c r="D276" t="inlineStr">
        <is>
          <t>failed</t>
        </is>
      </c>
      <c r="E276" t="inlineStr">
        <is>
          <t>order_7zSo7isLPBsHP1</t>
        </is>
      </c>
      <c r="G276" t="n">
        <v>0</v>
      </c>
      <c r="H276" t="inlineStr">
        <is>
          <t>netbanking</t>
        </is>
      </c>
      <c r="I276" t="n">
        <v>0</v>
      </c>
      <c r="J276" t="n">
        <v>0</v>
      </c>
      <c r="L276" t="n">
        <v>0</v>
      </c>
      <c r="R276" t="inlineStr">
        <is>
          <t>customer888@example.com</t>
        </is>
      </c>
      <c r="S276">
        <f>+919838089146</f>
        <v/>
      </c>
      <c r="T276" t="inlineStr">
        <is>
          <t>[]</t>
        </is>
      </c>
      <c r="W276" t="inlineStr">
        <is>
          <t>BAD_REQUEST_ERROR</t>
        </is>
      </c>
      <c r="X276" t="inlineStr">
        <is>
          <t>Payment cancelled by user</t>
        </is>
      </c>
      <c r="Y276" s="1" t="n">
        <v>46154.91064814815</v>
      </c>
    </row>
    <row r="277">
      <c r="A277" t="inlineStr">
        <is>
          <t>pay_tBag4fyPc5m7AK</t>
        </is>
      </c>
      <c r="B277" t="n">
        <v>1499</v>
      </c>
      <c r="C277" t="inlineStr">
        <is>
          <t>INR</t>
        </is>
      </c>
      <c r="D277" t="inlineStr">
        <is>
          <t>captured</t>
        </is>
      </c>
      <c r="E277" t="inlineStr">
        <is>
          <t>order_a5ohJhZAF2z6Gy</t>
        </is>
      </c>
      <c r="G277" t="n">
        <v>0</v>
      </c>
      <c r="H277" t="inlineStr">
        <is>
          <t>upi</t>
        </is>
      </c>
      <c r="I277" t="n">
        <v>0</v>
      </c>
      <c r="J277" t="n">
        <v>0</v>
      </c>
      <c r="L277" t="n">
        <v>1</v>
      </c>
      <c r="R277" t="inlineStr">
        <is>
          <t>customer619@example.com</t>
        </is>
      </c>
      <c r="S277">
        <f>+919833006911</f>
        <v/>
      </c>
      <c r="T277" t="inlineStr">
        <is>
          <t>[]</t>
        </is>
      </c>
      <c r="U277" t="n">
        <v>29.98</v>
      </c>
      <c r="V277" t="n">
        <v>5.4</v>
      </c>
      <c r="Y277" s="1" t="n">
        <v>46152.15607638889</v>
      </c>
    </row>
    <row r="278">
      <c r="A278" t="inlineStr">
        <is>
          <t>pay_C6gzIQNPkJXUdS</t>
        </is>
      </c>
      <c r="B278" t="n">
        <v>3999</v>
      </c>
      <c r="C278" t="inlineStr">
        <is>
          <t>INR</t>
        </is>
      </c>
      <c r="D278" t="inlineStr">
        <is>
          <t>captured</t>
        </is>
      </c>
      <c r="E278" t="inlineStr">
        <is>
          <t>order_8tRKSkoWdf4gvP</t>
        </is>
      </c>
      <c r="G278" t="n">
        <v>0</v>
      </c>
      <c r="H278" t="inlineStr">
        <is>
          <t>card</t>
        </is>
      </c>
      <c r="I278" t="n">
        <v>0</v>
      </c>
      <c r="J278" t="n">
        <v>0</v>
      </c>
      <c r="L278" t="n">
        <v>1</v>
      </c>
      <c r="R278" t="inlineStr">
        <is>
          <t>customer480@example.com</t>
        </is>
      </c>
      <c r="S278">
        <f>+919840339067</f>
        <v/>
      </c>
      <c r="T278" t="inlineStr">
        <is>
          <t>[]</t>
        </is>
      </c>
      <c r="U278" t="n">
        <v>79.98</v>
      </c>
      <c r="V278" t="n">
        <v>14.4</v>
      </c>
      <c r="Y278" s="1" t="n">
        <v>46147.32623842593</v>
      </c>
    </row>
    <row r="279">
      <c r="A279" t="inlineStr">
        <is>
          <t>pay_w3Qe3q8i3FFlEV</t>
        </is>
      </c>
      <c r="B279" t="n">
        <v>999</v>
      </c>
      <c r="C279" t="inlineStr">
        <is>
          <t>INR</t>
        </is>
      </c>
      <c r="D279" t="inlineStr">
        <is>
          <t>failed</t>
        </is>
      </c>
      <c r="E279" t="inlineStr">
        <is>
          <t>order_AQxpG6fpD99aNi</t>
        </is>
      </c>
      <c r="G279" t="n">
        <v>0</v>
      </c>
      <c r="H279" t="inlineStr">
        <is>
          <t>upi</t>
        </is>
      </c>
      <c r="I279" t="n">
        <v>0</v>
      </c>
      <c r="J279" t="n">
        <v>0</v>
      </c>
      <c r="L279" t="n">
        <v>0</v>
      </c>
      <c r="R279" t="inlineStr">
        <is>
          <t>customer570@example.com</t>
        </is>
      </c>
      <c r="S279">
        <f>+919875273205</f>
        <v/>
      </c>
      <c r="T279" t="inlineStr">
        <is>
          <t>[]</t>
        </is>
      </c>
      <c r="W279" t="inlineStr">
        <is>
          <t>BAD_REQUEST_ERROR</t>
        </is>
      </c>
      <c r="X279" t="inlineStr">
        <is>
          <t>UPI app declined the request</t>
        </is>
      </c>
      <c r="Y279" s="1" t="n">
        <v>46173.08393518518</v>
      </c>
    </row>
    <row r="280">
      <c r="A280" t="inlineStr">
        <is>
          <t>pay_7PjA9avjkrMe1A</t>
        </is>
      </c>
      <c r="B280" t="n">
        <v>999</v>
      </c>
      <c r="C280" t="inlineStr">
        <is>
          <t>INR</t>
        </is>
      </c>
      <c r="D280" t="inlineStr">
        <is>
          <t>captured</t>
        </is>
      </c>
      <c r="E280" t="inlineStr">
        <is>
          <t>order_C0hUCNZHXoNdWE</t>
        </is>
      </c>
      <c r="G280" t="n">
        <v>0</v>
      </c>
      <c r="H280" t="inlineStr">
        <is>
          <t>upi</t>
        </is>
      </c>
      <c r="I280" t="n">
        <v>0</v>
      </c>
      <c r="J280" t="n">
        <v>0</v>
      </c>
      <c r="L280" t="n">
        <v>1</v>
      </c>
      <c r="R280" t="inlineStr">
        <is>
          <t>customer178@example.com</t>
        </is>
      </c>
      <c r="S280">
        <f>+919877801512</f>
        <v/>
      </c>
      <c r="T280" t="inlineStr">
        <is>
          <t>[]</t>
        </is>
      </c>
      <c r="U280" t="n">
        <v>19.98</v>
      </c>
      <c r="V280" t="n">
        <v>3.6</v>
      </c>
      <c r="Y280" s="1" t="n">
        <v>46149.48828703703</v>
      </c>
    </row>
    <row r="281">
      <c r="A281" t="inlineStr">
        <is>
          <t>pay_6lnk4pegvUfP3t</t>
        </is>
      </c>
      <c r="B281" t="n">
        <v>1799</v>
      </c>
      <c r="C281" t="inlineStr">
        <is>
          <t>INR</t>
        </is>
      </c>
      <c r="D281" t="inlineStr">
        <is>
          <t>captured</t>
        </is>
      </c>
      <c r="E281" t="inlineStr">
        <is>
          <t>order_kCtuJnaxxQLEf5</t>
        </is>
      </c>
      <c r="G281" t="n">
        <v>0</v>
      </c>
      <c r="H281" t="inlineStr">
        <is>
          <t>upi</t>
        </is>
      </c>
      <c r="I281" t="n">
        <v>0</v>
      </c>
      <c r="J281" t="n">
        <v>0</v>
      </c>
      <c r="L281" t="n">
        <v>1</v>
      </c>
      <c r="R281" t="inlineStr">
        <is>
          <t>customer767@example.com</t>
        </is>
      </c>
      <c r="S281">
        <f>+919875010693</f>
        <v/>
      </c>
      <c r="T281" t="inlineStr">
        <is>
          <t>[]</t>
        </is>
      </c>
      <c r="U281" t="n">
        <v>35.98</v>
      </c>
      <c r="V281" t="n">
        <v>6.48</v>
      </c>
      <c r="Y281" s="1" t="n">
        <v>46147.91604166666</v>
      </c>
    </row>
    <row r="282">
      <c r="A282" t="inlineStr">
        <is>
          <t>pay_VukOgEryONMd3R</t>
        </is>
      </c>
      <c r="B282" t="n">
        <v>1799</v>
      </c>
      <c r="C282" t="inlineStr">
        <is>
          <t>INR</t>
        </is>
      </c>
      <c r="D282" t="inlineStr">
        <is>
          <t>failed</t>
        </is>
      </c>
      <c r="E282" t="inlineStr">
        <is>
          <t>order_TudB4IMVN67TYi</t>
        </is>
      </c>
      <c r="G282" t="n">
        <v>0</v>
      </c>
      <c r="H282" t="inlineStr">
        <is>
          <t>netbanking</t>
        </is>
      </c>
      <c r="I282" t="n">
        <v>0</v>
      </c>
      <c r="J282" t="n">
        <v>0</v>
      </c>
      <c r="L282" t="n">
        <v>0</v>
      </c>
      <c r="R282" t="inlineStr">
        <is>
          <t>customer320@example.com</t>
        </is>
      </c>
      <c r="S282">
        <f>+919892212523</f>
        <v/>
      </c>
      <c r="T282" t="inlineStr">
        <is>
          <t>[]</t>
        </is>
      </c>
      <c r="W282" t="inlineStr">
        <is>
          <t>BAD_REQUEST_ERROR</t>
        </is>
      </c>
      <c r="X282" t="inlineStr">
        <is>
          <t>Bank server unavailable</t>
        </is>
      </c>
      <c r="Y282" s="1" t="n">
        <v>46168.34607638889</v>
      </c>
    </row>
    <row r="283">
      <c r="A283" t="inlineStr">
        <is>
          <t>pay_zKIhB3JTraXnGj</t>
        </is>
      </c>
      <c r="B283" t="n">
        <v>999</v>
      </c>
      <c r="C283" t="inlineStr">
        <is>
          <t>INR</t>
        </is>
      </c>
      <c r="D283" t="inlineStr">
        <is>
          <t>captured</t>
        </is>
      </c>
      <c r="E283" t="inlineStr">
        <is>
          <t>order_4fI5c7oxqfNBB1</t>
        </is>
      </c>
      <c r="G283" t="n">
        <v>0</v>
      </c>
      <c r="H283" t="inlineStr">
        <is>
          <t>upi</t>
        </is>
      </c>
      <c r="I283" t="n">
        <v>0</v>
      </c>
      <c r="J283" t="n">
        <v>0</v>
      </c>
      <c r="L283" t="n">
        <v>1</v>
      </c>
      <c r="R283" t="inlineStr">
        <is>
          <t>customer764@example.com</t>
        </is>
      </c>
      <c r="S283">
        <f>+919878654557</f>
        <v/>
      </c>
      <c r="T283" t="inlineStr">
        <is>
          <t>[]</t>
        </is>
      </c>
      <c r="U283" t="n">
        <v>19.98</v>
      </c>
      <c r="V283" t="n">
        <v>3.6</v>
      </c>
      <c r="Y283" s="1" t="n">
        <v>46173.81208333333</v>
      </c>
    </row>
    <row r="284">
      <c r="A284" t="inlineStr">
        <is>
          <t>pay_R0NIlG86cso0lV</t>
        </is>
      </c>
      <c r="B284" t="n">
        <v>1799</v>
      </c>
      <c r="C284" t="inlineStr">
        <is>
          <t>INR</t>
        </is>
      </c>
      <c r="D284" t="inlineStr">
        <is>
          <t>failed</t>
        </is>
      </c>
      <c r="E284" t="inlineStr">
        <is>
          <t>order_8l3UB0ryJ8p0O5</t>
        </is>
      </c>
      <c r="G284" t="n">
        <v>0</v>
      </c>
      <c r="H284" t="inlineStr">
        <is>
          <t>card</t>
        </is>
      </c>
      <c r="I284" t="n">
        <v>0</v>
      </c>
      <c r="J284" t="n">
        <v>0</v>
      </c>
      <c r="L284" t="n">
        <v>0</v>
      </c>
      <c r="R284" t="inlineStr">
        <is>
          <t>customer201@example.com</t>
        </is>
      </c>
      <c r="S284">
        <f>+919855621781</f>
        <v/>
      </c>
      <c r="T284" t="inlineStr">
        <is>
          <t>[]</t>
        </is>
      </c>
      <c r="W284" t="inlineStr">
        <is>
          <t>BAD_REQUEST_ERROR</t>
        </is>
      </c>
      <c r="X284" t="inlineStr">
        <is>
          <t>Payment failed due to incorrect OTP</t>
        </is>
      </c>
      <c r="Y284" s="1" t="n">
        <v>46143.65686342592</v>
      </c>
    </row>
    <row r="285">
      <c r="A285" t="inlineStr">
        <is>
          <t>pay_Ao465IVoIr1OFB</t>
        </is>
      </c>
      <c r="B285" t="n">
        <v>1799</v>
      </c>
      <c r="C285" t="inlineStr">
        <is>
          <t>INR</t>
        </is>
      </c>
      <c r="D285" t="inlineStr">
        <is>
          <t>captured</t>
        </is>
      </c>
      <c r="E285" t="inlineStr">
        <is>
          <t>order_8l3UB0ryJ8p0O5</t>
        </is>
      </c>
      <c r="G285" t="n">
        <v>0</v>
      </c>
      <c r="H285" t="inlineStr">
        <is>
          <t>card</t>
        </is>
      </c>
      <c r="I285" t="n">
        <v>0</v>
      </c>
      <c r="J285" t="n">
        <v>0</v>
      </c>
      <c r="L285" t="n">
        <v>1</v>
      </c>
      <c r="R285" t="inlineStr">
        <is>
          <t>customer712@example.com</t>
        </is>
      </c>
      <c r="S285">
        <f>+919836939618</f>
        <v/>
      </c>
      <c r="T285" t="inlineStr">
        <is>
          <t>[]</t>
        </is>
      </c>
      <c r="U285" t="n">
        <v>35.98</v>
      </c>
      <c r="V285" t="n">
        <v>6.48</v>
      </c>
      <c r="Y285" s="1" t="n">
        <v>46143.66034722222</v>
      </c>
    </row>
    <row r="286">
      <c r="A286" t="inlineStr">
        <is>
          <t>pay_Glfp8trGcWWtb3</t>
        </is>
      </c>
      <c r="B286" t="n">
        <v>2499</v>
      </c>
      <c r="C286" t="inlineStr">
        <is>
          <t>INR</t>
        </is>
      </c>
      <c r="D286" t="inlineStr">
        <is>
          <t>failed</t>
        </is>
      </c>
      <c r="E286" t="inlineStr">
        <is>
          <t>order_PveOdockUq9rXT</t>
        </is>
      </c>
      <c r="G286" t="n">
        <v>0</v>
      </c>
      <c r="H286" t="inlineStr">
        <is>
          <t>upi</t>
        </is>
      </c>
      <c r="I286" t="n">
        <v>0</v>
      </c>
      <c r="J286" t="n">
        <v>0</v>
      </c>
      <c r="L286" t="n">
        <v>0</v>
      </c>
      <c r="R286" t="inlineStr">
        <is>
          <t>customer830@example.com</t>
        </is>
      </c>
      <c r="S286">
        <f>+919867839608</f>
        <v/>
      </c>
      <c r="T286" t="inlineStr">
        <is>
          <t>[]</t>
        </is>
      </c>
      <c r="W286" t="inlineStr">
        <is>
          <t>BAD_REQUEST_ERROR</t>
        </is>
      </c>
      <c r="X286" t="inlineStr">
        <is>
          <t>Payment was not completed on time</t>
        </is>
      </c>
      <c r="Y286" s="1" t="n">
        <v>46144.35761574074</v>
      </c>
    </row>
    <row r="287">
      <c r="A287" t="inlineStr">
        <is>
          <t>pay_48lwXu6uMpSrAS</t>
        </is>
      </c>
      <c r="B287" t="n">
        <v>1799</v>
      </c>
      <c r="C287" t="inlineStr">
        <is>
          <t>INR</t>
        </is>
      </c>
      <c r="D287" t="inlineStr">
        <is>
          <t>failed</t>
        </is>
      </c>
      <c r="E287" t="inlineStr">
        <is>
          <t>order_b8Rl3LNbnXameK</t>
        </is>
      </c>
      <c r="G287" t="n">
        <v>0</v>
      </c>
      <c r="H287" t="inlineStr">
        <is>
          <t>card</t>
        </is>
      </c>
      <c r="I287" t="n">
        <v>0</v>
      </c>
      <c r="J287" t="n">
        <v>0</v>
      </c>
      <c r="L287" t="n">
        <v>0</v>
      </c>
      <c r="R287" t="inlineStr">
        <is>
          <t>customer849@example.com</t>
        </is>
      </c>
      <c r="S287">
        <f>+919828808864</f>
        <v/>
      </c>
      <c r="T287" t="inlineStr">
        <is>
          <t>[]</t>
        </is>
      </c>
      <c r="W287" t="inlineStr">
        <is>
          <t>BAD_REQUEST_ERROR</t>
        </is>
      </c>
      <c r="X287" t="inlineStr">
        <is>
          <t>Payment cancelled by user</t>
        </is>
      </c>
      <c r="Y287" s="1" t="n">
        <v>46147.84583333333</v>
      </c>
    </row>
    <row r="288">
      <c r="A288" t="inlineStr">
        <is>
          <t>pay_EavLqXnBQnPydg</t>
        </is>
      </c>
      <c r="B288" t="n">
        <v>1799</v>
      </c>
      <c r="C288" t="inlineStr">
        <is>
          <t>INR</t>
        </is>
      </c>
      <c r="D288" t="inlineStr">
        <is>
          <t>captured</t>
        </is>
      </c>
      <c r="E288" t="inlineStr">
        <is>
          <t>order_b8Rl3LNbnXameK</t>
        </is>
      </c>
      <c r="G288" t="n">
        <v>0</v>
      </c>
      <c r="H288" t="inlineStr">
        <is>
          <t>card</t>
        </is>
      </c>
      <c r="I288" t="n">
        <v>0</v>
      </c>
      <c r="J288" t="n">
        <v>0</v>
      </c>
      <c r="L288" t="n">
        <v>1</v>
      </c>
      <c r="R288" t="inlineStr">
        <is>
          <t>customer668@example.com</t>
        </is>
      </c>
      <c r="S288">
        <f>+919825773661</f>
        <v/>
      </c>
      <c r="T288" t="inlineStr">
        <is>
          <t>[]</t>
        </is>
      </c>
      <c r="U288" t="n">
        <v>35.98</v>
      </c>
      <c r="V288" t="n">
        <v>6.48</v>
      </c>
      <c r="Y288" s="1" t="n">
        <v>46147.84715277778</v>
      </c>
    </row>
    <row r="289">
      <c r="A289" t="inlineStr">
        <is>
          <t>pay_YJv5W9sDB0MIF3</t>
        </is>
      </c>
      <c r="B289" t="n">
        <v>1799</v>
      </c>
      <c r="C289" t="inlineStr">
        <is>
          <t>INR</t>
        </is>
      </c>
      <c r="D289" t="inlineStr">
        <is>
          <t>captured</t>
        </is>
      </c>
      <c r="E289" t="inlineStr">
        <is>
          <t>order_GujhS4cnGqEFqh</t>
        </is>
      </c>
      <c r="G289" t="n">
        <v>0</v>
      </c>
      <c r="H289" t="inlineStr">
        <is>
          <t>netbanking</t>
        </is>
      </c>
      <c r="I289" t="n">
        <v>0</v>
      </c>
      <c r="J289" t="n">
        <v>0</v>
      </c>
      <c r="L289" t="n">
        <v>1</v>
      </c>
      <c r="R289" t="inlineStr">
        <is>
          <t>customer362@example.com</t>
        </is>
      </c>
      <c r="S289">
        <f>+919871441909</f>
        <v/>
      </c>
      <c r="T289" t="inlineStr">
        <is>
          <t>[]</t>
        </is>
      </c>
      <c r="U289" t="n">
        <v>35.98</v>
      </c>
      <c r="V289" t="n">
        <v>6.48</v>
      </c>
      <c r="Y289" s="1" t="n">
        <v>46146.83450231481</v>
      </c>
    </row>
    <row r="290">
      <c r="A290" t="inlineStr">
        <is>
          <t>pay_mDspVvMshWWRLk</t>
        </is>
      </c>
      <c r="B290" t="n">
        <v>1499</v>
      </c>
      <c r="C290" t="inlineStr">
        <is>
          <t>INR</t>
        </is>
      </c>
      <c r="D290" t="inlineStr">
        <is>
          <t>captured</t>
        </is>
      </c>
      <c r="E290" t="inlineStr">
        <is>
          <t>order_6SRysx7kPhGj8W</t>
        </is>
      </c>
      <c r="G290" t="n">
        <v>0</v>
      </c>
      <c r="H290" t="inlineStr">
        <is>
          <t>upi</t>
        </is>
      </c>
      <c r="I290" t="n">
        <v>0</v>
      </c>
      <c r="J290" t="n">
        <v>0</v>
      </c>
      <c r="L290" t="n">
        <v>1</v>
      </c>
      <c r="R290" t="inlineStr">
        <is>
          <t>customer514@example.com</t>
        </is>
      </c>
      <c r="S290">
        <f>+919811908928</f>
        <v/>
      </c>
      <c r="T290" t="inlineStr">
        <is>
          <t>[]</t>
        </is>
      </c>
      <c r="U290" t="n">
        <v>29.98</v>
      </c>
      <c r="V290" t="n">
        <v>5.4</v>
      </c>
      <c r="Y290" s="1" t="n">
        <v>46149.37721064815</v>
      </c>
    </row>
    <row r="291">
      <c r="A291" t="inlineStr">
        <is>
          <t>pay_JEd4pVmqiHrJSo</t>
        </is>
      </c>
      <c r="B291" t="n">
        <v>2499</v>
      </c>
      <c r="C291" t="inlineStr">
        <is>
          <t>INR</t>
        </is>
      </c>
      <c r="D291" t="inlineStr">
        <is>
          <t>failed</t>
        </is>
      </c>
      <c r="E291" t="inlineStr">
        <is>
          <t>order_KNkd0bpyRR15qp</t>
        </is>
      </c>
      <c r="G291" t="n">
        <v>0</v>
      </c>
      <c r="H291" t="inlineStr">
        <is>
          <t>upi</t>
        </is>
      </c>
      <c r="I291" t="n">
        <v>0</v>
      </c>
      <c r="J291" t="n">
        <v>0</v>
      </c>
      <c r="L291" t="n">
        <v>0</v>
      </c>
      <c r="R291" t="inlineStr">
        <is>
          <t>customer135@example.com</t>
        </is>
      </c>
      <c r="S291">
        <f>+919834351039</f>
        <v/>
      </c>
      <c r="T291" t="inlineStr">
        <is>
          <t>[]</t>
        </is>
      </c>
      <c r="W291" t="inlineStr">
        <is>
          <t>BAD_REQUEST_ERROR</t>
        </is>
      </c>
      <c r="X291" t="inlineStr">
        <is>
          <t>UPI app declined the request</t>
        </is>
      </c>
      <c r="Y291" s="1" t="n">
        <v>46158.94663194445</v>
      </c>
    </row>
    <row r="292">
      <c r="A292" t="inlineStr">
        <is>
          <t>pay_7T8vs2Z3Bz6mkk</t>
        </is>
      </c>
      <c r="B292" t="n">
        <v>1799</v>
      </c>
      <c r="C292" t="inlineStr">
        <is>
          <t>INR</t>
        </is>
      </c>
      <c r="D292" t="inlineStr">
        <is>
          <t>captured</t>
        </is>
      </c>
      <c r="E292" t="inlineStr">
        <is>
          <t>order_aaCbVyf2aN3GSi</t>
        </is>
      </c>
      <c r="G292" t="n">
        <v>0</v>
      </c>
      <c r="H292" t="inlineStr">
        <is>
          <t>netbanking</t>
        </is>
      </c>
      <c r="I292" t="n">
        <v>0</v>
      </c>
      <c r="J292" t="n">
        <v>0</v>
      </c>
      <c r="L292" t="n">
        <v>1</v>
      </c>
      <c r="R292" t="inlineStr">
        <is>
          <t>customer310@example.com</t>
        </is>
      </c>
      <c r="S292">
        <f>+919865505203</f>
        <v/>
      </c>
      <c r="T292" t="inlineStr">
        <is>
          <t>[]</t>
        </is>
      </c>
      <c r="U292" t="n">
        <v>35.98</v>
      </c>
      <c r="V292" t="n">
        <v>6.48</v>
      </c>
      <c r="Y292" s="1" t="n">
        <v>46149.03726851852</v>
      </c>
    </row>
    <row r="293">
      <c r="A293" t="inlineStr">
        <is>
          <t>pay_iGJf1Y58tObvQX</t>
        </is>
      </c>
      <c r="B293" t="n">
        <v>999</v>
      </c>
      <c r="C293" t="inlineStr">
        <is>
          <t>INR</t>
        </is>
      </c>
      <c r="D293" t="inlineStr">
        <is>
          <t>captured</t>
        </is>
      </c>
      <c r="E293" t="inlineStr">
        <is>
          <t>order_CQpWLkOdFEW0X3</t>
        </is>
      </c>
      <c r="G293" t="n">
        <v>0</v>
      </c>
      <c r="H293" t="inlineStr">
        <is>
          <t>upi</t>
        </is>
      </c>
      <c r="I293" t="n">
        <v>0</v>
      </c>
      <c r="J293" t="n">
        <v>0</v>
      </c>
      <c r="L293" t="n">
        <v>1</v>
      </c>
      <c r="R293" t="inlineStr">
        <is>
          <t>customer120@example.com</t>
        </is>
      </c>
      <c r="S293">
        <f>+919829824231</f>
        <v/>
      </c>
      <c r="T293" t="inlineStr">
        <is>
          <t>[]</t>
        </is>
      </c>
      <c r="U293" t="n">
        <v>19.98</v>
      </c>
      <c r="V293" t="n">
        <v>3.6</v>
      </c>
      <c r="Y293" s="1" t="n">
        <v>46159.10716435185</v>
      </c>
    </row>
    <row r="294">
      <c r="A294" t="inlineStr">
        <is>
          <t>pay_PoqzkdfaPdD3Ms</t>
        </is>
      </c>
      <c r="B294" t="n">
        <v>1799</v>
      </c>
      <c r="C294" t="inlineStr">
        <is>
          <t>INR</t>
        </is>
      </c>
      <c r="D294" t="inlineStr">
        <is>
          <t>refunded</t>
        </is>
      </c>
      <c r="E294" t="inlineStr">
        <is>
          <t>order_skN5p9HmlS5moi</t>
        </is>
      </c>
      <c r="G294" t="n">
        <v>0</v>
      </c>
      <c r="H294" t="inlineStr">
        <is>
          <t>netbanking</t>
        </is>
      </c>
      <c r="I294" t="n">
        <v>1799</v>
      </c>
      <c r="J294" t="n">
        <v>0</v>
      </c>
      <c r="K294" t="inlineStr">
        <is>
          <t>full</t>
        </is>
      </c>
      <c r="L294" t="n">
        <v>1</v>
      </c>
      <c r="R294" t="inlineStr">
        <is>
          <t>customer412@example.com</t>
        </is>
      </c>
      <c r="S294">
        <f>+919882895358</f>
        <v/>
      </c>
      <c r="T294" t="inlineStr">
        <is>
          <t>[]</t>
        </is>
      </c>
      <c r="U294" t="n">
        <v>35.98</v>
      </c>
      <c r="V294" t="n">
        <v>6.48</v>
      </c>
      <c r="Y294" s="1" t="n">
        <v>46168.73997685185</v>
      </c>
    </row>
    <row r="295">
      <c r="A295" t="inlineStr">
        <is>
          <t>pay_sfl3D00po2oL6C</t>
        </is>
      </c>
      <c r="B295" t="n">
        <v>1799</v>
      </c>
      <c r="C295" t="inlineStr">
        <is>
          <t>INR</t>
        </is>
      </c>
      <c r="D295" t="inlineStr">
        <is>
          <t>captured</t>
        </is>
      </c>
      <c r="E295" t="inlineStr">
        <is>
          <t>order_GvlGzy9kfDUQKq</t>
        </is>
      </c>
      <c r="G295" t="n">
        <v>0</v>
      </c>
      <c r="H295" t="inlineStr">
        <is>
          <t>upi</t>
        </is>
      </c>
      <c r="I295" t="n">
        <v>0</v>
      </c>
      <c r="J295" t="n">
        <v>0</v>
      </c>
      <c r="L295" t="n">
        <v>1</v>
      </c>
      <c r="R295" t="inlineStr">
        <is>
          <t>customer435@example.com</t>
        </is>
      </c>
      <c r="S295">
        <f>+919821933525</f>
        <v/>
      </c>
      <c r="T295" t="inlineStr">
        <is>
          <t>[]</t>
        </is>
      </c>
      <c r="U295" t="n">
        <v>35.98</v>
      </c>
      <c r="V295" t="n">
        <v>6.48</v>
      </c>
      <c r="Y295" s="1" t="n">
        <v>46163.74810185185</v>
      </c>
    </row>
    <row r="296">
      <c r="A296" t="inlineStr">
        <is>
          <t>pay_GY29wPI0oCpXSa</t>
        </is>
      </c>
      <c r="B296" t="n">
        <v>2499</v>
      </c>
      <c r="C296" t="inlineStr">
        <is>
          <t>INR</t>
        </is>
      </c>
      <c r="D296" t="inlineStr">
        <is>
          <t>captured</t>
        </is>
      </c>
      <c r="E296" t="inlineStr">
        <is>
          <t>order_X3woF5M2mF4JXY</t>
        </is>
      </c>
      <c r="G296" t="n">
        <v>0</v>
      </c>
      <c r="H296" t="inlineStr">
        <is>
          <t>upi</t>
        </is>
      </c>
      <c r="I296" t="n">
        <v>0</v>
      </c>
      <c r="J296" t="n">
        <v>0</v>
      </c>
      <c r="L296" t="n">
        <v>1</v>
      </c>
      <c r="R296" t="inlineStr">
        <is>
          <t>customer112@example.com</t>
        </is>
      </c>
      <c r="S296">
        <f>+919829009190</f>
        <v/>
      </c>
      <c r="T296" t="inlineStr">
        <is>
          <t>[]</t>
        </is>
      </c>
      <c r="U296" t="n">
        <v>49.98</v>
      </c>
      <c r="V296" t="n">
        <v>9</v>
      </c>
      <c r="Y296" s="1" t="n">
        <v>46164.37255787037</v>
      </c>
    </row>
    <row r="297">
      <c r="A297" t="inlineStr">
        <is>
          <t>pay_qglxS4KjxirJFk</t>
        </is>
      </c>
      <c r="B297" t="n">
        <v>999</v>
      </c>
      <c r="C297" t="inlineStr">
        <is>
          <t>INR</t>
        </is>
      </c>
      <c r="D297" t="inlineStr">
        <is>
          <t>captured</t>
        </is>
      </c>
      <c r="E297" t="inlineStr">
        <is>
          <t>order_4nxzeB3sTQyI6s</t>
        </is>
      </c>
      <c r="G297" t="n">
        <v>0</v>
      </c>
      <c r="H297" t="inlineStr">
        <is>
          <t>upi</t>
        </is>
      </c>
      <c r="I297" t="n">
        <v>0</v>
      </c>
      <c r="J297" t="n">
        <v>0</v>
      </c>
      <c r="L297" t="n">
        <v>1</v>
      </c>
      <c r="R297" t="inlineStr">
        <is>
          <t>customer283@example.com</t>
        </is>
      </c>
      <c r="S297">
        <f>+919894618694</f>
        <v/>
      </c>
      <c r="T297" t="inlineStr">
        <is>
          <t>[]</t>
        </is>
      </c>
      <c r="U297" t="n">
        <v>19.98</v>
      </c>
      <c r="V297" t="n">
        <v>3.6</v>
      </c>
      <c r="Y297" s="1" t="n">
        <v>46171.70872685185</v>
      </c>
    </row>
    <row r="298">
      <c r="A298" t="inlineStr">
        <is>
          <t>pay_HGUkMXph7HntbU</t>
        </is>
      </c>
      <c r="B298" t="n">
        <v>1499</v>
      </c>
      <c r="C298" t="inlineStr">
        <is>
          <t>INR</t>
        </is>
      </c>
      <c r="D298" t="inlineStr">
        <is>
          <t>captured</t>
        </is>
      </c>
      <c r="E298" t="inlineStr">
        <is>
          <t>order_6gups2nRTb5KXr</t>
        </is>
      </c>
      <c r="G298" t="n">
        <v>0</v>
      </c>
      <c r="H298" t="inlineStr">
        <is>
          <t>card</t>
        </is>
      </c>
      <c r="I298" t="n">
        <v>0</v>
      </c>
      <c r="J298" t="n">
        <v>0</v>
      </c>
      <c r="L298" t="n">
        <v>1</v>
      </c>
      <c r="R298" t="inlineStr">
        <is>
          <t>customer182@example.com</t>
        </is>
      </c>
      <c r="S298">
        <f>+919823300816</f>
        <v/>
      </c>
      <c r="T298" t="inlineStr">
        <is>
          <t>[]</t>
        </is>
      </c>
      <c r="U298" t="n">
        <v>29.98</v>
      </c>
      <c r="V298" t="n">
        <v>5.4</v>
      </c>
      <c r="Y298" s="1" t="n">
        <v>46172.20458333333</v>
      </c>
    </row>
    <row r="299">
      <c r="A299" t="inlineStr">
        <is>
          <t>pay_gY6vm284lF1T0F</t>
        </is>
      </c>
      <c r="B299" t="n">
        <v>1499</v>
      </c>
      <c r="C299" t="inlineStr">
        <is>
          <t>INR</t>
        </is>
      </c>
      <c r="D299" t="inlineStr">
        <is>
          <t>captured</t>
        </is>
      </c>
      <c r="E299" t="inlineStr">
        <is>
          <t>order_Vu9TgRcvKGg0ta</t>
        </is>
      </c>
      <c r="G299" t="n">
        <v>0</v>
      </c>
      <c r="H299" t="inlineStr">
        <is>
          <t>upi</t>
        </is>
      </c>
      <c r="I299" t="n">
        <v>0</v>
      </c>
      <c r="J299" t="n">
        <v>0</v>
      </c>
      <c r="L299" t="n">
        <v>1</v>
      </c>
      <c r="R299" t="inlineStr">
        <is>
          <t>customer104@example.com</t>
        </is>
      </c>
      <c r="S299">
        <f>+919825874312</f>
        <v/>
      </c>
      <c r="T299" t="inlineStr">
        <is>
          <t>[]</t>
        </is>
      </c>
      <c r="U299" t="n">
        <v>29.98</v>
      </c>
      <c r="V299" t="n">
        <v>5.4</v>
      </c>
      <c r="Y299" s="1" t="n">
        <v>46172.40600694445</v>
      </c>
    </row>
    <row r="300">
      <c r="A300" t="inlineStr">
        <is>
          <t>pay_I2Pxlz4cJ9z0xL</t>
        </is>
      </c>
      <c r="B300" t="n">
        <v>999</v>
      </c>
      <c r="C300" t="inlineStr">
        <is>
          <t>INR</t>
        </is>
      </c>
      <c r="D300" t="inlineStr">
        <is>
          <t>captured</t>
        </is>
      </c>
      <c r="E300" t="inlineStr">
        <is>
          <t>order_otDmYjp1YpxTrQ</t>
        </is>
      </c>
      <c r="G300" t="n">
        <v>0</v>
      </c>
      <c r="H300" t="inlineStr">
        <is>
          <t>upi</t>
        </is>
      </c>
      <c r="I300" t="n">
        <v>0</v>
      </c>
      <c r="J300" t="n">
        <v>0</v>
      </c>
      <c r="L300" t="n">
        <v>1</v>
      </c>
      <c r="R300" t="inlineStr">
        <is>
          <t>customer140@example.com</t>
        </is>
      </c>
      <c r="S300">
        <f>+919876685155</f>
        <v/>
      </c>
      <c r="T300" t="inlineStr">
        <is>
          <t>[]</t>
        </is>
      </c>
      <c r="U300" t="n">
        <v>19.98</v>
      </c>
      <c r="V300" t="n">
        <v>3.6</v>
      </c>
      <c r="Y300" s="1" t="n">
        <v>46149.40615740741</v>
      </c>
    </row>
    <row r="301">
      <c r="A301" t="inlineStr">
        <is>
          <t>pay_3yYo7MCpYYYnQ1</t>
        </is>
      </c>
      <c r="B301" t="n">
        <v>1499</v>
      </c>
      <c r="C301" t="inlineStr">
        <is>
          <t>INR</t>
        </is>
      </c>
      <c r="D301" t="inlineStr">
        <is>
          <t>captured</t>
        </is>
      </c>
      <c r="E301" t="inlineStr">
        <is>
          <t>order_HN0njUOcZf2hhm</t>
        </is>
      </c>
      <c r="G301" t="n">
        <v>0</v>
      </c>
      <c r="H301" t="inlineStr">
        <is>
          <t>upi</t>
        </is>
      </c>
      <c r="I301" t="n">
        <v>0</v>
      </c>
      <c r="J301" t="n">
        <v>0</v>
      </c>
      <c r="L301" t="n">
        <v>1</v>
      </c>
      <c r="R301" t="inlineStr">
        <is>
          <t>customer573@example.com</t>
        </is>
      </c>
      <c r="S301">
        <f>+919832436425</f>
        <v/>
      </c>
      <c r="T301" t="inlineStr">
        <is>
          <t>[]</t>
        </is>
      </c>
      <c r="U301" t="n">
        <v>29.98</v>
      </c>
      <c r="V301" t="n">
        <v>5.4</v>
      </c>
      <c r="Y301" s="1" t="n">
        <v>46166.37929398148</v>
      </c>
    </row>
    <row r="302">
      <c r="A302" t="inlineStr">
        <is>
          <t>pay_nCc9tKXpwKE2Wz</t>
        </is>
      </c>
      <c r="B302" t="n">
        <v>499</v>
      </c>
      <c r="C302" t="inlineStr">
        <is>
          <t>INR</t>
        </is>
      </c>
      <c r="D302" t="inlineStr">
        <is>
          <t>captured</t>
        </is>
      </c>
      <c r="E302" t="inlineStr">
        <is>
          <t>order_NfKBL32WrEh0Sy</t>
        </is>
      </c>
      <c r="G302" t="n">
        <v>0</v>
      </c>
      <c r="H302" t="inlineStr">
        <is>
          <t>upi</t>
        </is>
      </c>
      <c r="I302" t="n">
        <v>0</v>
      </c>
      <c r="J302" t="n">
        <v>0</v>
      </c>
      <c r="L302" t="n">
        <v>1</v>
      </c>
      <c r="R302" t="inlineStr">
        <is>
          <t>customer359@example.com</t>
        </is>
      </c>
      <c r="S302">
        <f>+919875655283</f>
        <v/>
      </c>
      <c r="T302" t="inlineStr">
        <is>
          <t>[]</t>
        </is>
      </c>
      <c r="U302" t="n">
        <v>9.98</v>
      </c>
      <c r="V302" t="n">
        <v>1.8</v>
      </c>
      <c r="Y302" s="1" t="n">
        <v>46167.07920138889</v>
      </c>
    </row>
    <row r="303">
      <c r="A303" t="inlineStr">
        <is>
          <t>pay_MqjucmEyVimGQt</t>
        </is>
      </c>
      <c r="B303" t="n">
        <v>2499</v>
      </c>
      <c r="C303" t="inlineStr">
        <is>
          <t>INR</t>
        </is>
      </c>
      <c r="D303" t="inlineStr">
        <is>
          <t>captured</t>
        </is>
      </c>
      <c r="E303" t="inlineStr">
        <is>
          <t>order_O6X9FLp6Twwb0A</t>
        </is>
      </c>
      <c r="G303" t="n">
        <v>0</v>
      </c>
      <c r="H303" t="inlineStr">
        <is>
          <t>upi</t>
        </is>
      </c>
      <c r="I303" t="n">
        <v>0</v>
      </c>
      <c r="J303" t="n">
        <v>0</v>
      </c>
      <c r="L303" t="n">
        <v>1</v>
      </c>
      <c r="R303" t="inlineStr">
        <is>
          <t>customer212@example.com</t>
        </is>
      </c>
      <c r="S303">
        <f>+919854355730</f>
        <v/>
      </c>
      <c r="T303" t="inlineStr">
        <is>
          <t>[]</t>
        </is>
      </c>
      <c r="U303" t="n">
        <v>49.98</v>
      </c>
      <c r="V303" t="n">
        <v>9</v>
      </c>
      <c r="Y303" s="1" t="n">
        <v>46150.67041666667</v>
      </c>
    </row>
    <row r="304">
      <c r="A304" t="inlineStr">
        <is>
          <t>pay_zqUjeTKah1iTml</t>
        </is>
      </c>
      <c r="B304" t="n">
        <v>1499</v>
      </c>
      <c r="C304" t="inlineStr">
        <is>
          <t>INR</t>
        </is>
      </c>
      <c r="D304" t="inlineStr">
        <is>
          <t>captured</t>
        </is>
      </c>
      <c r="E304" t="inlineStr">
        <is>
          <t>order_06lPk9XzTsdFeC</t>
        </is>
      </c>
      <c r="G304" t="n">
        <v>0</v>
      </c>
      <c r="H304" t="inlineStr">
        <is>
          <t>upi</t>
        </is>
      </c>
      <c r="I304" t="n">
        <v>0</v>
      </c>
      <c r="J304" t="n">
        <v>0</v>
      </c>
      <c r="L304" t="n">
        <v>1</v>
      </c>
      <c r="R304" t="inlineStr">
        <is>
          <t>customer575@example.com</t>
        </is>
      </c>
      <c r="S304">
        <f>+919856470175</f>
        <v/>
      </c>
      <c r="T304" t="inlineStr">
        <is>
          <t>[]</t>
        </is>
      </c>
      <c r="U304" t="n">
        <v>29.98</v>
      </c>
      <c r="V304" t="n">
        <v>5.4</v>
      </c>
      <c r="Y304" s="1" t="n">
        <v>46173.86503472222</v>
      </c>
    </row>
    <row r="305">
      <c r="A305" t="inlineStr">
        <is>
          <t>pay_GEp5dPmJpGgeBx</t>
        </is>
      </c>
      <c r="B305" t="n">
        <v>3999</v>
      </c>
      <c r="C305" t="inlineStr">
        <is>
          <t>INR</t>
        </is>
      </c>
      <c r="D305" t="inlineStr">
        <is>
          <t>captured</t>
        </is>
      </c>
      <c r="E305" t="inlineStr">
        <is>
          <t>order_Qho78JLXO4BuAG</t>
        </is>
      </c>
      <c r="G305" t="n">
        <v>0</v>
      </c>
      <c r="H305" t="inlineStr">
        <is>
          <t>upi</t>
        </is>
      </c>
      <c r="I305" t="n">
        <v>0</v>
      </c>
      <c r="J305" t="n">
        <v>0</v>
      </c>
      <c r="L305" t="n">
        <v>1</v>
      </c>
      <c r="R305" t="inlineStr">
        <is>
          <t>customer611@example.com</t>
        </is>
      </c>
      <c r="S305">
        <f>+919891272171</f>
        <v/>
      </c>
      <c r="T305" t="inlineStr">
        <is>
          <t>[]</t>
        </is>
      </c>
      <c r="U305" t="n">
        <v>79.98</v>
      </c>
      <c r="V305" t="n">
        <v>14.4</v>
      </c>
      <c r="Y305" s="1" t="n">
        <v>46144.67709490741</v>
      </c>
    </row>
    <row r="306">
      <c r="A306" t="inlineStr">
        <is>
          <t>pay_QtgIn8n3ulJt9M</t>
        </is>
      </c>
      <c r="B306" t="n">
        <v>1799</v>
      </c>
      <c r="C306" t="inlineStr">
        <is>
          <t>INR</t>
        </is>
      </c>
      <c r="D306" t="inlineStr">
        <is>
          <t>captured</t>
        </is>
      </c>
      <c r="E306" t="inlineStr">
        <is>
          <t>order_VjmNi25NqIVvOL</t>
        </is>
      </c>
      <c r="G306" t="n">
        <v>0</v>
      </c>
      <c r="H306" t="inlineStr">
        <is>
          <t>upi</t>
        </is>
      </c>
      <c r="I306" t="n">
        <v>0</v>
      </c>
      <c r="J306" t="n">
        <v>0</v>
      </c>
      <c r="L306" t="n">
        <v>1</v>
      </c>
      <c r="R306" t="inlineStr">
        <is>
          <t>customer104@example.com</t>
        </is>
      </c>
      <c r="S306">
        <f>+919817655844</f>
        <v/>
      </c>
      <c r="T306" t="inlineStr">
        <is>
          <t>[]</t>
        </is>
      </c>
      <c r="U306" t="n">
        <v>35.98</v>
      </c>
      <c r="V306" t="n">
        <v>6.48</v>
      </c>
      <c r="Y306" s="1" t="n">
        <v>46150.3765625</v>
      </c>
    </row>
    <row r="307">
      <c r="A307" t="inlineStr">
        <is>
          <t>pay_jGi2n547rQe8Qc</t>
        </is>
      </c>
      <c r="B307" t="n">
        <v>499</v>
      </c>
      <c r="C307" t="inlineStr">
        <is>
          <t>INR</t>
        </is>
      </c>
      <c r="D307" t="inlineStr">
        <is>
          <t>failed</t>
        </is>
      </c>
      <c r="E307" t="inlineStr">
        <is>
          <t>order_3bRXx3VErjeHGl</t>
        </is>
      </c>
      <c r="G307" t="n">
        <v>0</v>
      </c>
      <c r="H307" t="inlineStr">
        <is>
          <t>card</t>
        </is>
      </c>
      <c r="I307" t="n">
        <v>0</v>
      </c>
      <c r="J307" t="n">
        <v>0</v>
      </c>
      <c r="L307" t="n">
        <v>0</v>
      </c>
      <c r="R307" t="inlineStr">
        <is>
          <t>customer142@example.com</t>
        </is>
      </c>
      <c r="S307">
        <f>+919863578849</f>
        <v/>
      </c>
      <c r="T307" t="inlineStr">
        <is>
          <t>[]</t>
        </is>
      </c>
      <c r="W307" t="inlineStr">
        <is>
          <t>BAD_REQUEST_ERROR</t>
        </is>
      </c>
      <c r="X307" t="inlineStr">
        <is>
          <t>Card declined by bank</t>
        </is>
      </c>
      <c r="Y307" s="1" t="n">
        <v>46172.136875</v>
      </c>
    </row>
    <row r="308">
      <c r="A308" t="inlineStr">
        <is>
          <t>pay_rsLpFn3TuUj5rZ</t>
        </is>
      </c>
      <c r="B308" t="n">
        <v>3999</v>
      </c>
      <c r="C308" t="inlineStr">
        <is>
          <t>INR</t>
        </is>
      </c>
      <c r="D308" t="inlineStr">
        <is>
          <t>captured</t>
        </is>
      </c>
      <c r="E308" t="inlineStr">
        <is>
          <t>order_GaV8zLfX4AIVb2</t>
        </is>
      </c>
      <c r="G308" t="n">
        <v>0</v>
      </c>
      <c r="H308" t="inlineStr">
        <is>
          <t>upi</t>
        </is>
      </c>
      <c r="I308" t="n">
        <v>0</v>
      </c>
      <c r="J308" t="n">
        <v>0</v>
      </c>
      <c r="L308" t="n">
        <v>1</v>
      </c>
      <c r="R308" t="inlineStr">
        <is>
          <t>customer437@example.com</t>
        </is>
      </c>
      <c r="S308">
        <f>+919892063682</f>
        <v/>
      </c>
      <c r="T308" t="inlineStr">
        <is>
          <t>[]</t>
        </is>
      </c>
      <c r="U308" t="n">
        <v>79.98</v>
      </c>
      <c r="V308" t="n">
        <v>14.4</v>
      </c>
      <c r="Y308" s="1" t="n">
        <v>46168.56664351852</v>
      </c>
    </row>
    <row r="309">
      <c r="A309" t="inlineStr">
        <is>
          <t>pay_r7n2hwxSGQOMgm</t>
        </is>
      </c>
      <c r="B309" t="n">
        <v>1499</v>
      </c>
      <c r="C309" t="inlineStr">
        <is>
          <t>INR</t>
        </is>
      </c>
      <c r="D309" t="inlineStr">
        <is>
          <t>failed</t>
        </is>
      </c>
      <c r="E309" t="inlineStr">
        <is>
          <t>order_YAe1AWhRlUR572</t>
        </is>
      </c>
      <c r="G309" t="n">
        <v>0</v>
      </c>
      <c r="H309" t="inlineStr">
        <is>
          <t>upi</t>
        </is>
      </c>
      <c r="I309" t="n">
        <v>0</v>
      </c>
      <c r="J309" t="n">
        <v>0</v>
      </c>
      <c r="L309" t="n">
        <v>0</v>
      </c>
      <c r="R309" t="inlineStr">
        <is>
          <t>customer674@example.com</t>
        </is>
      </c>
      <c r="S309">
        <f>+919839522138</f>
        <v/>
      </c>
      <c r="T309" t="inlineStr">
        <is>
          <t>[]</t>
        </is>
      </c>
      <c r="W309" t="inlineStr">
        <is>
          <t>BAD_REQUEST_ERROR</t>
        </is>
      </c>
      <c r="X309" t="inlineStr">
        <is>
          <t>UPI app declined the request</t>
        </is>
      </c>
      <c r="Y309" s="1" t="n">
        <v>46152.21149305555</v>
      </c>
    </row>
    <row r="310">
      <c r="A310" t="inlineStr">
        <is>
          <t>pay_ECQH9hdKoo9Gsw</t>
        </is>
      </c>
      <c r="B310" t="n">
        <v>1499</v>
      </c>
      <c r="C310" t="inlineStr">
        <is>
          <t>INR</t>
        </is>
      </c>
      <c r="D310" t="inlineStr">
        <is>
          <t>failed</t>
        </is>
      </c>
      <c r="E310" t="inlineStr">
        <is>
          <t>order_YAe1AWhRlUR572</t>
        </is>
      </c>
      <c r="G310" t="n">
        <v>0</v>
      </c>
      <c r="H310" t="inlineStr">
        <is>
          <t>upi</t>
        </is>
      </c>
      <c r="I310" t="n">
        <v>0</v>
      </c>
      <c r="J310" t="n">
        <v>0</v>
      </c>
      <c r="L310" t="n">
        <v>0</v>
      </c>
      <c r="R310" t="inlineStr">
        <is>
          <t>customer231@example.com</t>
        </is>
      </c>
      <c r="S310">
        <f>+919859171552</f>
        <v/>
      </c>
      <c r="T310" t="inlineStr">
        <is>
          <t>[]</t>
        </is>
      </c>
      <c r="W310" t="inlineStr">
        <is>
          <t>BAD_REQUEST_ERROR</t>
        </is>
      </c>
      <c r="X310" t="inlineStr">
        <is>
          <t>UPI app declined the request</t>
        </is>
      </c>
      <c r="Y310" s="1" t="n">
        <v>46152.21767361111</v>
      </c>
    </row>
    <row r="311">
      <c r="A311" t="inlineStr">
        <is>
          <t>pay_S5JwqogstZaFFj</t>
        </is>
      </c>
      <c r="B311" t="n">
        <v>3999</v>
      </c>
      <c r="C311" t="inlineStr">
        <is>
          <t>INR</t>
        </is>
      </c>
      <c r="D311" t="inlineStr">
        <is>
          <t>captured</t>
        </is>
      </c>
      <c r="E311" t="inlineStr">
        <is>
          <t>order_Twg83f1I9BBaJo</t>
        </is>
      </c>
      <c r="G311" t="n">
        <v>0</v>
      </c>
      <c r="H311" t="inlineStr">
        <is>
          <t>netbanking</t>
        </is>
      </c>
      <c r="I311" t="n">
        <v>0</v>
      </c>
      <c r="J311" t="n">
        <v>0</v>
      </c>
      <c r="L311" t="n">
        <v>1</v>
      </c>
      <c r="R311" t="inlineStr">
        <is>
          <t>customer711@example.com</t>
        </is>
      </c>
      <c r="S311">
        <f>+919899299188</f>
        <v/>
      </c>
      <c r="T311" t="inlineStr">
        <is>
          <t>[]</t>
        </is>
      </c>
      <c r="U311" t="n">
        <v>79.98</v>
      </c>
      <c r="V311" t="n">
        <v>14.4</v>
      </c>
      <c r="Y311" s="1" t="n">
        <v>46164.07887731482</v>
      </c>
    </row>
    <row r="312">
      <c r="A312" t="inlineStr">
        <is>
          <t>pay_tljCd9iOoQYPuY</t>
        </is>
      </c>
      <c r="B312" t="n">
        <v>1499</v>
      </c>
      <c r="C312" t="inlineStr">
        <is>
          <t>INR</t>
        </is>
      </c>
      <c r="D312" t="inlineStr">
        <is>
          <t>failed</t>
        </is>
      </c>
      <c r="E312" t="inlineStr">
        <is>
          <t>order_F2BNEANKt1Pamq</t>
        </is>
      </c>
      <c r="G312" t="n">
        <v>0</v>
      </c>
      <c r="H312" t="inlineStr">
        <is>
          <t>netbanking</t>
        </is>
      </c>
      <c r="I312" t="n">
        <v>0</v>
      </c>
      <c r="J312" t="n">
        <v>0</v>
      </c>
      <c r="L312" t="n">
        <v>0</v>
      </c>
      <c r="R312" t="inlineStr">
        <is>
          <t>customer39@example.com</t>
        </is>
      </c>
      <c r="S312">
        <f>+919884629113</f>
        <v/>
      </c>
      <c r="T312" t="inlineStr">
        <is>
          <t>[]</t>
        </is>
      </c>
      <c r="W312" t="inlineStr">
        <is>
          <t>BAD_REQUEST_ERROR</t>
        </is>
      </c>
      <c r="X312" t="inlineStr">
        <is>
          <t>Payment cancelled by user</t>
        </is>
      </c>
      <c r="Y312" s="1" t="n">
        <v>46158.88114583334</v>
      </c>
    </row>
    <row r="313">
      <c r="A313" t="inlineStr">
        <is>
          <t>pay_4jw7uH3He67pXT</t>
        </is>
      </c>
      <c r="B313" t="n">
        <v>1499</v>
      </c>
      <c r="C313" t="inlineStr">
        <is>
          <t>INR</t>
        </is>
      </c>
      <c r="D313" t="inlineStr">
        <is>
          <t>captured</t>
        </is>
      </c>
      <c r="E313" t="inlineStr">
        <is>
          <t>order_F2BNEANKt1Pamq</t>
        </is>
      </c>
      <c r="G313" t="n">
        <v>0</v>
      </c>
      <c r="H313" t="inlineStr">
        <is>
          <t>upi</t>
        </is>
      </c>
      <c r="I313" t="n">
        <v>0</v>
      </c>
      <c r="J313" t="n">
        <v>0</v>
      </c>
      <c r="L313" t="n">
        <v>1</v>
      </c>
      <c r="R313" t="inlineStr">
        <is>
          <t>customer880@example.com</t>
        </is>
      </c>
      <c r="S313">
        <f>+919850957991</f>
        <v/>
      </c>
      <c r="T313" t="inlineStr">
        <is>
          <t>[]</t>
        </is>
      </c>
      <c r="U313" t="n">
        <v>29.98</v>
      </c>
      <c r="V313" t="n">
        <v>5.4</v>
      </c>
      <c r="Y313" s="1" t="n">
        <v>46158.88232638889</v>
      </c>
    </row>
    <row r="314">
      <c r="A314" t="inlineStr">
        <is>
          <t>pay_J9jVIthK1k39mI</t>
        </is>
      </c>
      <c r="B314" t="n">
        <v>499</v>
      </c>
      <c r="C314" t="inlineStr">
        <is>
          <t>INR</t>
        </is>
      </c>
      <c r="D314" t="inlineStr">
        <is>
          <t>captured</t>
        </is>
      </c>
      <c r="E314" t="inlineStr">
        <is>
          <t>order_nEVT4WsdDu14HV</t>
        </is>
      </c>
      <c r="G314" t="n">
        <v>0</v>
      </c>
      <c r="H314" t="inlineStr">
        <is>
          <t>upi</t>
        </is>
      </c>
      <c r="I314" t="n">
        <v>0</v>
      </c>
      <c r="J314" t="n">
        <v>0</v>
      </c>
      <c r="L314" t="n">
        <v>1</v>
      </c>
      <c r="R314" t="inlineStr">
        <is>
          <t>customer497@example.com</t>
        </is>
      </c>
      <c r="S314">
        <f>+919815023176</f>
        <v/>
      </c>
      <c r="T314" t="inlineStr">
        <is>
          <t>[]</t>
        </is>
      </c>
      <c r="U314" t="n">
        <v>9.98</v>
      </c>
      <c r="V314" t="n">
        <v>1.8</v>
      </c>
      <c r="Y314" s="1" t="n">
        <v>46163.17594907407</v>
      </c>
    </row>
    <row r="315">
      <c r="A315" t="inlineStr">
        <is>
          <t>pay_CAlydR8HyFiTQg</t>
        </is>
      </c>
      <c r="B315" t="n">
        <v>999</v>
      </c>
      <c r="C315" t="inlineStr">
        <is>
          <t>INR</t>
        </is>
      </c>
      <c r="D315" t="inlineStr">
        <is>
          <t>captured</t>
        </is>
      </c>
      <c r="E315" t="inlineStr">
        <is>
          <t>order_9d53qR2VEuAb6O</t>
        </is>
      </c>
      <c r="G315" t="n">
        <v>0</v>
      </c>
      <c r="H315" t="inlineStr">
        <is>
          <t>card</t>
        </is>
      </c>
      <c r="I315" t="n">
        <v>0</v>
      </c>
      <c r="J315" t="n">
        <v>0</v>
      </c>
      <c r="L315" t="n">
        <v>1</v>
      </c>
      <c r="R315" t="inlineStr">
        <is>
          <t>customer387@example.com</t>
        </is>
      </c>
      <c r="S315">
        <f>+919836692128</f>
        <v/>
      </c>
      <c r="T315" t="inlineStr">
        <is>
          <t>[]</t>
        </is>
      </c>
      <c r="U315" t="n">
        <v>19.98</v>
      </c>
      <c r="V315" t="n">
        <v>3.6</v>
      </c>
      <c r="Y315" s="1" t="n">
        <v>46159.29648148148</v>
      </c>
    </row>
    <row r="316">
      <c r="A316" t="inlineStr">
        <is>
          <t>pay_UuJtIGj0YWfoUY</t>
        </is>
      </c>
      <c r="B316" t="n">
        <v>1799</v>
      </c>
      <c r="C316" t="inlineStr">
        <is>
          <t>INR</t>
        </is>
      </c>
      <c r="D316" t="inlineStr">
        <is>
          <t>failed</t>
        </is>
      </c>
      <c r="E316" t="inlineStr">
        <is>
          <t>order_SkZSgegnVVRw6j</t>
        </is>
      </c>
      <c r="G316" t="n">
        <v>0</v>
      </c>
      <c r="H316" t="inlineStr">
        <is>
          <t>card</t>
        </is>
      </c>
      <c r="I316" t="n">
        <v>0</v>
      </c>
      <c r="J316" t="n">
        <v>0</v>
      </c>
      <c r="L316" t="n">
        <v>0</v>
      </c>
      <c r="R316" t="inlineStr">
        <is>
          <t>customer633@example.com</t>
        </is>
      </c>
      <c r="S316">
        <f>+919879024543</f>
        <v/>
      </c>
      <c r="T316" t="inlineStr">
        <is>
          <t>[]</t>
        </is>
      </c>
      <c r="W316" t="inlineStr">
        <is>
          <t>BAD_REQUEST_ERROR</t>
        </is>
      </c>
      <c r="X316" t="inlineStr">
        <is>
          <t>Card declined by bank</t>
        </is>
      </c>
      <c r="Y316" s="1" t="n">
        <v>46151.48888888889</v>
      </c>
    </row>
    <row r="317">
      <c r="A317" t="inlineStr">
        <is>
          <t>pay_qy7oFAbZ6gvnIV</t>
        </is>
      </c>
      <c r="B317" t="n">
        <v>1499</v>
      </c>
      <c r="C317" t="inlineStr">
        <is>
          <t>INR</t>
        </is>
      </c>
      <c r="D317" t="inlineStr">
        <is>
          <t>captured</t>
        </is>
      </c>
      <c r="E317" t="inlineStr">
        <is>
          <t>order_jEZmjxw2psHCh7</t>
        </is>
      </c>
      <c r="G317" t="n">
        <v>0</v>
      </c>
      <c r="H317" t="inlineStr">
        <is>
          <t>upi</t>
        </is>
      </c>
      <c r="I317" t="n">
        <v>0</v>
      </c>
      <c r="J317" t="n">
        <v>0</v>
      </c>
      <c r="L317" t="n">
        <v>1</v>
      </c>
      <c r="R317" t="inlineStr">
        <is>
          <t>customer662@example.com</t>
        </is>
      </c>
      <c r="S317">
        <f>+919886350801</f>
        <v/>
      </c>
      <c r="T317" t="inlineStr">
        <is>
          <t>[]</t>
        </is>
      </c>
      <c r="U317" t="n">
        <v>29.98</v>
      </c>
      <c r="V317" t="n">
        <v>5.4</v>
      </c>
      <c r="Y317" s="1" t="n">
        <v>46154.01341435185</v>
      </c>
    </row>
    <row r="318">
      <c r="A318" t="inlineStr">
        <is>
          <t>pay_2EdPyyxriOGAUF</t>
        </is>
      </c>
      <c r="B318" t="n">
        <v>1499</v>
      </c>
      <c r="C318" t="inlineStr">
        <is>
          <t>INR</t>
        </is>
      </c>
      <c r="D318" t="inlineStr">
        <is>
          <t>failed</t>
        </is>
      </c>
      <c r="E318" t="inlineStr">
        <is>
          <t>order_H67BmHAY5MfHhH</t>
        </is>
      </c>
      <c r="G318" t="n">
        <v>0</v>
      </c>
      <c r="H318" t="inlineStr">
        <is>
          <t>upi</t>
        </is>
      </c>
      <c r="I318" t="n">
        <v>0</v>
      </c>
      <c r="J318" t="n">
        <v>0</v>
      </c>
      <c r="L318" t="n">
        <v>0</v>
      </c>
      <c r="R318" t="inlineStr">
        <is>
          <t>customer166@example.com</t>
        </is>
      </c>
      <c r="S318">
        <f>+919845962661</f>
        <v/>
      </c>
      <c r="T318" t="inlineStr">
        <is>
          <t>[]</t>
        </is>
      </c>
      <c r="W318" t="inlineStr">
        <is>
          <t>BAD_REQUEST_ERROR</t>
        </is>
      </c>
      <c r="X318" t="inlineStr">
        <is>
          <t>Payment was not completed on time</t>
        </is>
      </c>
      <c r="Y318" s="1" t="n">
        <v>46151.66359953704</v>
      </c>
    </row>
    <row r="319">
      <c r="A319" t="inlineStr">
        <is>
          <t>pay_gmXWfk9kXK2TgV</t>
        </is>
      </c>
      <c r="B319" t="n">
        <v>1499</v>
      </c>
      <c r="C319" t="inlineStr">
        <is>
          <t>INR</t>
        </is>
      </c>
      <c r="D319" t="inlineStr">
        <is>
          <t>captured</t>
        </is>
      </c>
      <c r="E319" t="inlineStr">
        <is>
          <t>order_sDx5KHnEOegBg9</t>
        </is>
      </c>
      <c r="G319" t="n">
        <v>0</v>
      </c>
      <c r="H319" t="inlineStr">
        <is>
          <t>card</t>
        </is>
      </c>
      <c r="I319" t="n">
        <v>0</v>
      </c>
      <c r="J319" t="n">
        <v>0</v>
      </c>
      <c r="L319" t="n">
        <v>1</v>
      </c>
      <c r="R319" t="inlineStr">
        <is>
          <t>customer733@example.com</t>
        </is>
      </c>
      <c r="S319">
        <f>+919815603158</f>
        <v/>
      </c>
      <c r="T319" t="inlineStr">
        <is>
          <t>[]</t>
        </is>
      </c>
      <c r="U319" t="n">
        <v>29.98</v>
      </c>
      <c r="V319" t="n">
        <v>5.4</v>
      </c>
      <c r="Y319" s="1" t="n">
        <v>46173.75677083333</v>
      </c>
    </row>
    <row r="320">
      <c r="A320" t="inlineStr">
        <is>
          <t>pay_LpeOgiQ7eUidbb</t>
        </is>
      </c>
      <c r="B320" t="n">
        <v>999</v>
      </c>
      <c r="C320" t="inlineStr">
        <is>
          <t>INR</t>
        </is>
      </c>
      <c r="D320" t="inlineStr">
        <is>
          <t>captured</t>
        </is>
      </c>
      <c r="E320" t="inlineStr">
        <is>
          <t>order_CGIJe0GgFlASUk</t>
        </is>
      </c>
      <c r="G320" t="n">
        <v>0</v>
      </c>
      <c r="H320" t="inlineStr">
        <is>
          <t>card</t>
        </is>
      </c>
      <c r="I320" t="n">
        <v>0</v>
      </c>
      <c r="J320" t="n">
        <v>0</v>
      </c>
      <c r="L320" t="n">
        <v>1</v>
      </c>
      <c r="R320" t="inlineStr">
        <is>
          <t>customer749@example.com</t>
        </is>
      </c>
      <c r="S320">
        <f>+919898855787</f>
        <v/>
      </c>
      <c r="T320" t="inlineStr">
        <is>
          <t>[]</t>
        </is>
      </c>
      <c r="U320" t="n">
        <v>19.98</v>
      </c>
      <c r="V320" t="n">
        <v>3.6</v>
      </c>
      <c r="Y320" s="1" t="n">
        <v>46171.94334490741</v>
      </c>
    </row>
    <row r="321">
      <c r="A321" t="inlineStr">
        <is>
          <t>pay_WTA8y3s0uTRbKE</t>
        </is>
      </c>
      <c r="B321" t="n">
        <v>499</v>
      </c>
      <c r="C321" t="inlineStr">
        <is>
          <t>INR</t>
        </is>
      </c>
      <c r="D321" t="inlineStr">
        <is>
          <t>captured</t>
        </is>
      </c>
      <c r="E321" t="inlineStr">
        <is>
          <t>order_jcztlYgNiOim9q</t>
        </is>
      </c>
      <c r="G321" t="n">
        <v>0</v>
      </c>
      <c r="H321" t="inlineStr">
        <is>
          <t>upi</t>
        </is>
      </c>
      <c r="I321" t="n">
        <v>0</v>
      </c>
      <c r="J321" t="n">
        <v>0</v>
      </c>
      <c r="L321" t="n">
        <v>1</v>
      </c>
      <c r="R321" t="inlineStr">
        <is>
          <t>customer172@example.com</t>
        </is>
      </c>
      <c r="S321">
        <f>+919818424440</f>
        <v/>
      </c>
      <c r="T321" t="inlineStr">
        <is>
          <t>[]</t>
        </is>
      </c>
      <c r="U321" t="n">
        <v>9.98</v>
      </c>
      <c r="V321" t="n">
        <v>1.8</v>
      </c>
      <c r="Y321" s="1" t="n">
        <v>46143.12400462963</v>
      </c>
    </row>
    <row r="322">
      <c r="A322" t="inlineStr">
        <is>
          <t>pay_oKAgzZ763bR2JF</t>
        </is>
      </c>
      <c r="B322" t="n">
        <v>1499</v>
      </c>
      <c r="C322" t="inlineStr">
        <is>
          <t>INR</t>
        </is>
      </c>
      <c r="D322" t="inlineStr">
        <is>
          <t>failed</t>
        </is>
      </c>
      <c r="E322" t="inlineStr">
        <is>
          <t>order_ija4iI6VKrPYmo</t>
        </is>
      </c>
      <c r="G322" t="n">
        <v>0</v>
      </c>
      <c r="H322" t="inlineStr">
        <is>
          <t>upi</t>
        </is>
      </c>
      <c r="I322" t="n">
        <v>0</v>
      </c>
      <c r="J322" t="n">
        <v>0</v>
      </c>
      <c r="L322" t="n">
        <v>0</v>
      </c>
      <c r="R322" t="inlineStr">
        <is>
          <t>customer381@example.com</t>
        </is>
      </c>
      <c r="S322">
        <f>+919818145915</f>
        <v/>
      </c>
      <c r="T322" t="inlineStr">
        <is>
          <t>[]</t>
        </is>
      </c>
      <c r="W322" t="inlineStr">
        <is>
          <t>BAD_REQUEST_ERROR</t>
        </is>
      </c>
      <c r="X322" t="inlineStr">
        <is>
          <t>Payment was not completed on time</t>
        </is>
      </c>
      <c r="Y322" s="1" t="n">
        <v>46165.22670138889</v>
      </c>
    </row>
    <row r="323">
      <c r="A323" t="inlineStr">
        <is>
          <t>pay_NsnMQu4dkTuxAC</t>
        </is>
      </c>
      <c r="B323" t="n">
        <v>999</v>
      </c>
      <c r="C323" t="inlineStr">
        <is>
          <t>INR</t>
        </is>
      </c>
      <c r="D323" t="inlineStr">
        <is>
          <t>captured</t>
        </is>
      </c>
      <c r="E323" t="inlineStr">
        <is>
          <t>order_ENB5lM68NtgDmZ</t>
        </is>
      </c>
      <c r="G323" t="n">
        <v>0</v>
      </c>
      <c r="H323" t="inlineStr">
        <is>
          <t>upi</t>
        </is>
      </c>
      <c r="I323" t="n">
        <v>0</v>
      </c>
      <c r="J323" t="n">
        <v>0</v>
      </c>
      <c r="L323" t="n">
        <v>1</v>
      </c>
      <c r="R323" t="inlineStr">
        <is>
          <t>customer256@example.com</t>
        </is>
      </c>
      <c r="S323">
        <f>+919872494445</f>
        <v/>
      </c>
      <c r="T323" t="inlineStr">
        <is>
          <t>[]</t>
        </is>
      </c>
      <c r="U323" t="n">
        <v>19.98</v>
      </c>
      <c r="V323" t="n">
        <v>3.6</v>
      </c>
      <c r="Y323" s="1" t="n">
        <v>46145.61795138889</v>
      </c>
    </row>
    <row r="324">
      <c r="A324" t="inlineStr">
        <is>
          <t>pay_eZJAwdb0A5dDqH</t>
        </is>
      </c>
      <c r="B324" t="n">
        <v>1499</v>
      </c>
      <c r="C324" t="inlineStr">
        <is>
          <t>INR</t>
        </is>
      </c>
      <c r="D324" t="inlineStr">
        <is>
          <t>captured</t>
        </is>
      </c>
      <c r="E324" t="inlineStr">
        <is>
          <t>order_Y0oPsvXw4E1izc</t>
        </is>
      </c>
      <c r="G324" t="n">
        <v>0</v>
      </c>
      <c r="H324" t="inlineStr">
        <is>
          <t>upi</t>
        </is>
      </c>
      <c r="I324" t="n">
        <v>0</v>
      </c>
      <c r="J324" t="n">
        <v>0</v>
      </c>
      <c r="L324" t="n">
        <v>1</v>
      </c>
      <c r="R324" t="inlineStr">
        <is>
          <t>customer612@example.com</t>
        </is>
      </c>
      <c r="S324">
        <f>+919840229391</f>
        <v/>
      </c>
      <c r="T324" t="inlineStr">
        <is>
          <t>[]</t>
        </is>
      </c>
      <c r="U324" t="n">
        <v>29.98</v>
      </c>
      <c r="V324" t="n">
        <v>5.4</v>
      </c>
      <c r="Y324" s="1" t="n">
        <v>46166.23571759259</v>
      </c>
    </row>
    <row r="325">
      <c r="A325" t="inlineStr">
        <is>
          <t>pay_xoP2QO7pJZOaFY</t>
        </is>
      </c>
      <c r="B325" t="n">
        <v>3999</v>
      </c>
      <c r="C325" t="inlineStr">
        <is>
          <t>INR</t>
        </is>
      </c>
      <c r="D325" t="inlineStr">
        <is>
          <t>captured</t>
        </is>
      </c>
      <c r="E325" t="inlineStr">
        <is>
          <t>order_hPFcksQixMU9Zl</t>
        </is>
      </c>
      <c r="G325" t="n">
        <v>0</v>
      </c>
      <c r="H325" t="inlineStr">
        <is>
          <t>netbanking</t>
        </is>
      </c>
      <c r="I325" t="n">
        <v>0</v>
      </c>
      <c r="J325" t="n">
        <v>0</v>
      </c>
      <c r="L325" t="n">
        <v>1</v>
      </c>
      <c r="R325" t="inlineStr">
        <is>
          <t>customer208@example.com</t>
        </is>
      </c>
      <c r="S325">
        <f>+919862852002</f>
        <v/>
      </c>
      <c r="T325" t="inlineStr">
        <is>
          <t>[]</t>
        </is>
      </c>
      <c r="U325" t="n">
        <v>79.98</v>
      </c>
      <c r="V325" t="n">
        <v>14.4</v>
      </c>
      <c r="Y325" s="1" t="n">
        <v>46167.94900462963</v>
      </c>
    </row>
    <row r="326">
      <c r="A326" t="inlineStr">
        <is>
          <t>pay_bQxYPBOQumOJck</t>
        </is>
      </c>
      <c r="B326" t="n">
        <v>2499</v>
      </c>
      <c r="C326" t="inlineStr">
        <is>
          <t>INR</t>
        </is>
      </c>
      <c r="D326" t="inlineStr">
        <is>
          <t>captured</t>
        </is>
      </c>
      <c r="E326" t="inlineStr">
        <is>
          <t>order_d3adlIrxOMz1Hm</t>
        </is>
      </c>
      <c r="G326" t="n">
        <v>0</v>
      </c>
      <c r="H326" t="inlineStr">
        <is>
          <t>netbanking</t>
        </is>
      </c>
      <c r="I326" t="n">
        <v>0</v>
      </c>
      <c r="J326" t="n">
        <v>0</v>
      </c>
      <c r="L326" t="n">
        <v>1</v>
      </c>
      <c r="R326" t="inlineStr">
        <is>
          <t>customer442@example.com</t>
        </is>
      </c>
      <c r="S326">
        <f>+919822070310</f>
        <v/>
      </c>
      <c r="T326" t="inlineStr">
        <is>
          <t>[]</t>
        </is>
      </c>
      <c r="U326" t="n">
        <v>49.98</v>
      </c>
      <c r="V326" t="n">
        <v>9</v>
      </c>
      <c r="Y326" s="1" t="n">
        <v>46173.50967592592</v>
      </c>
    </row>
    <row r="327">
      <c r="A327" t="inlineStr">
        <is>
          <t>pay_t2OM83DxlA9eY5</t>
        </is>
      </c>
      <c r="B327" t="n">
        <v>1799</v>
      </c>
      <c r="C327" t="inlineStr">
        <is>
          <t>INR</t>
        </is>
      </c>
      <c r="D327" t="inlineStr">
        <is>
          <t>captured</t>
        </is>
      </c>
      <c r="E327" t="inlineStr">
        <is>
          <t>order_weVI5nYk4PZJoy</t>
        </is>
      </c>
      <c r="G327" t="n">
        <v>0</v>
      </c>
      <c r="H327" t="inlineStr">
        <is>
          <t>card</t>
        </is>
      </c>
      <c r="I327" t="n">
        <v>0</v>
      </c>
      <c r="J327" t="n">
        <v>0</v>
      </c>
      <c r="L327" t="n">
        <v>1</v>
      </c>
      <c r="R327" t="inlineStr">
        <is>
          <t>customer410@example.com</t>
        </is>
      </c>
      <c r="S327">
        <f>+919841530401</f>
        <v/>
      </c>
      <c r="T327" t="inlineStr">
        <is>
          <t>[]</t>
        </is>
      </c>
      <c r="U327" t="n">
        <v>35.98</v>
      </c>
      <c r="V327" t="n">
        <v>6.48</v>
      </c>
      <c r="Y327" s="1" t="n">
        <v>46168.46665509259</v>
      </c>
    </row>
    <row r="328">
      <c r="A328" t="inlineStr">
        <is>
          <t>pay_nbRSlcJtv1JhRS</t>
        </is>
      </c>
      <c r="B328" t="n">
        <v>499</v>
      </c>
      <c r="C328" t="inlineStr">
        <is>
          <t>INR</t>
        </is>
      </c>
      <c r="D328" t="inlineStr">
        <is>
          <t>captured</t>
        </is>
      </c>
      <c r="E328" t="inlineStr">
        <is>
          <t>order_Ck5V6xNbOKSwEi</t>
        </is>
      </c>
      <c r="G328" t="n">
        <v>0</v>
      </c>
      <c r="H328" t="inlineStr">
        <is>
          <t>netbanking</t>
        </is>
      </c>
      <c r="I328" t="n">
        <v>0</v>
      </c>
      <c r="J328" t="n">
        <v>0</v>
      </c>
      <c r="L328" t="n">
        <v>1</v>
      </c>
      <c r="R328" t="inlineStr">
        <is>
          <t>customer582@example.com</t>
        </is>
      </c>
      <c r="S328">
        <f>+919818751055</f>
        <v/>
      </c>
      <c r="T328" t="inlineStr">
        <is>
          <t>[]</t>
        </is>
      </c>
      <c r="U328" t="n">
        <v>9.98</v>
      </c>
      <c r="V328" t="n">
        <v>1.8</v>
      </c>
      <c r="Y328" s="1" t="n">
        <v>46149.82905092592</v>
      </c>
    </row>
    <row r="329">
      <c r="A329" t="inlineStr">
        <is>
          <t>pay_fzHQmYLX6QPsqx</t>
        </is>
      </c>
      <c r="B329" t="n">
        <v>1499</v>
      </c>
      <c r="C329" t="inlineStr">
        <is>
          <t>INR</t>
        </is>
      </c>
      <c r="D329" t="inlineStr">
        <is>
          <t>failed</t>
        </is>
      </c>
      <c r="E329" t="inlineStr">
        <is>
          <t>order_OdssAFhQdpKbuY</t>
        </is>
      </c>
      <c r="G329" t="n">
        <v>0</v>
      </c>
      <c r="H329" t="inlineStr">
        <is>
          <t>netbanking</t>
        </is>
      </c>
      <c r="I329" t="n">
        <v>0</v>
      </c>
      <c r="J329" t="n">
        <v>0</v>
      </c>
      <c r="L329" t="n">
        <v>0</v>
      </c>
      <c r="R329" t="inlineStr">
        <is>
          <t>customer830@example.com</t>
        </is>
      </c>
      <c r="S329">
        <f>+919822331401</f>
        <v/>
      </c>
      <c r="T329" t="inlineStr">
        <is>
          <t>[]</t>
        </is>
      </c>
      <c r="W329" t="inlineStr">
        <is>
          <t>BAD_REQUEST_ERROR</t>
        </is>
      </c>
      <c r="X329" t="inlineStr">
        <is>
          <t>Payment cancelled by user</t>
        </is>
      </c>
      <c r="Y329" s="1" t="n">
        <v>46151.04225694444</v>
      </c>
    </row>
    <row r="330">
      <c r="A330" t="inlineStr">
        <is>
          <t>pay_AqtPLLrtC9taHT</t>
        </is>
      </c>
      <c r="B330" t="n">
        <v>2499</v>
      </c>
      <c r="C330" t="inlineStr">
        <is>
          <t>INR</t>
        </is>
      </c>
      <c r="D330" t="inlineStr">
        <is>
          <t>captured</t>
        </is>
      </c>
      <c r="E330" t="inlineStr">
        <is>
          <t>order_bBZUvGyafo2lrI</t>
        </is>
      </c>
      <c r="G330" t="n">
        <v>0</v>
      </c>
      <c r="H330" t="inlineStr">
        <is>
          <t>upi</t>
        </is>
      </c>
      <c r="I330" t="n">
        <v>0</v>
      </c>
      <c r="J330" t="n">
        <v>0</v>
      </c>
      <c r="L330" t="n">
        <v>1</v>
      </c>
      <c r="R330" t="inlineStr">
        <is>
          <t>customer196@example.com</t>
        </is>
      </c>
      <c r="S330">
        <f>+919865409809</f>
        <v/>
      </c>
      <c r="T330" t="inlineStr">
        <is>
          <t>[]</t>
        </is>
      </c>
      <c r="U330" t="n">
        <v>49.98</v>
      </c>
      <c r="V330" t="n">
        <v>9</v>
      </c>
      <c r="Y330" s="1" t="n">
        <v>46145.27109953704</v>
      </c>
    </row>
    <row r="331">
      <c r="A331" t="inlineStr">
        <is>
          <t>pay_P5MZh3nR8Bq6tB</t>
        </is>
      </c>
      <c r="B331" t="n">
        <v>999</v>
      </c>
      <c r="C331" t="inlineStr">
        <is>
          <t>INR</t>
        </is>
      </c>
      <c r="D331" t="inlineStr">
        <is>
          <t>captured</t>
        </is>
      </c>
      <c r="E331" t="inlineStr">
        <is>
          <t>order_RZEkotdgtw1LED</t>
        </is>
      </c>
      <c r="G331" t="n">
        <v>0</v>
      </c>
      <c r="H331" t="inlineStr">
        <is>
          <t>upi</t>
        </is>
      </c>
      <c r="I331" t="n">
        <v>0</v>
      </c>
      <c r="J331" t="n">
        <v>0</v>
      </c>
      <c r="L331" t="n">
        <v>1</v>
      </c>
      <c r="R331" t="inlineStr">
        <is>
          <t>customer418@example.com</t>
        </is>
      </c>
      <c r="S331">
        <f>+919818182533</f>
        <v/>
      </c>
      <c r="T331" t="inlineStr">
        <is>
          <t>[]</t>
        </is>
      </c>
      <c r="U331" t="n">
        <v>19.98</v>
      </c>
      <c r="V331" t="n">
        <v>3.6</v>
      </c>
      <c r="Y331" s="1" t="n">
        <v>46157.22752314815</v>
      </c>
    </row>
    <row r="332">
      <c r="A332" t="inlineStr">
        <is>
          <t>pay_wlK0e1VyglJLEw</t>
        </is>
      </c>
      <c r="B332" t="n">
        <v>999</v>
      </c>
      <c r="C332" t="inlineStr">
        <is>
          <t>INR</t>
        </is>
      </c>
      <c r="D332" t="inlineStr">
        <is>
          <t>captured</t>
        </is>
      </c>
      <c r="E332" t="inlineStr">
        <is>
          <t>order_JQ4qoU740XRAWB</t>
        </is>
      </c>
      <c r="G332" t="n">
        <v>0</v>
      </c>
      <c r="H332" t="inlineStr">
        <is>
          <t>upi</t>
        </is>
      </c>
      <c r="I332" t="n">
        <v>0</v>
      </c>
      <c r="J332" t="n">
        <v>0</v>
      </c>
      <c r="L332" t="n">
        <v>1</v>
      </c>
      <c r="R332" t="inlineStr">
        <is>
          <t>customer225@example.com</t>
        </is>
      </c>
      <c r="S332">
        <f>+919870412845</f>
        <v/>
      </c>
      <c r="T332" t="inlineStr">
        <is>
          <t>[]</t>
        </is>
      </c>
      <c r="U332" t="n">
        <v>19.98</v>
      </c>
      <c r="V332" t="n">
        <v>3.6</v>
      </c>
      <c r="Y332" s="1" t="n">
        <v>46161.49237268518</v>
      </c>
    </row>
    <row r="333">
      <c r="A333" t="inlineStr">
        <is>
          <t>pay_RASrfPpmCE3RBB</t>
        </is>
      </c>
      <c r="B333" t="n">
        <v>999</v>
      </c>
      <c r="C333" t="inlineStr">
        <is>
          <t>INR</t>
        </is>
      </c>
      <c r="D333" t="inlineStr">
        <is>
          <t>captured</t>
        </is>
      </c>
      <c r="E333" t="inlineStr">
        <is>
          <t>order_13l97x26TwNVvD</t>
        </is>
      </c>
      <c r="G333" t="n">
        <v>0</v>
      </c>
      <c r="H333" t="inlineStr">
        <is>
          <t>upi</t>
        </is>
      </c>
      <c r="I333" t="n">
        <v>0</v>
      </c>
      <c r="J333" t="n">
        <v>0</v>
      </c>
      <c r="L333" t="n">
        <v>1</v>
      </c>
      <c r="R333" t="inlineStr">
        <is>
          <t>customer615@example.com</t>
        </is>
      </c>
      <c r="S333">
        <f>+919827403080</f>
        <v/>
      </c>
      <c r="T333" t="inlineStr">
        <is>
          <t>[]</t>
        </is>
      </c>
      <c r="U333" t="n">
        <v>19.98</v>
      </c>
      <c r="V333" t="n">
        <v>3.6</v>
      </c>
      <c r="Y333" s="1" t="n">
        <v>46144.32359953703</v>
      </c>
    </row>
    <row r="334">
      <c r="A334" t="inlineStr">
        <is>
          <t>pay_GViBHjmLkjn63g</t>
        </is>
      </c>
      <c r="B334" t="n">
        <v>1499</v>
      </c>
      <c r="C334" t="inlineStr">
        <is>
          <t>INR</t>
        </is>
      </c>
      <c r="D334" t="inlineStr">
        <is>
          <t>captured</t>
        </is>
      </c>
      <c r="E334" t="inlineStr">
        <is>
          <t>order_jDHcJEkXwmrrUX</t>
        </is>
      </c>
      <c r="G334" t="n">
        <v>0</v>
      </c>
      <c r="H334" t="inlineStr">
        <is>
          <t>upi</t>
        </is>
      </c>
      <c r="I334" t="n">
        <v>0</v>
      </c>
      <c r="J334" t="n">
        <v>0</v>
      </c>
      <c r="L334" t="n">
        <v>1</v>
      </c>
      <c r="R334" t="inlineStr">
        <is>
          <t>customer587@example.com</t>
        </is>
      </c>
      <c r="S334">
        <f>+919834402422</f>
        <v/>
      </c>
      <c r="T334" t="inlineStr">
        <is>
          <t>[]</t>
        </is>
      </c>
      <c r="U334" t="n">
        <v>29.98</v>
      </c>
      <c r="V334" t="n">
        <v>5.4</v>
      </c>
      <c r="Y334" s="1" t="n">
        <v>46157.4811574074</v>
      </c>
    </row>
    <row r="335">
      <c r="A335" t="inlineStr">
        <is>
          <t>pay_HgKdhGjscer7Po</t>
        </is>
      </c>
      <c r="B335" t="n">
        <v>1499</v>
      </c>
      <c r="C335" t="inlineStr">
        <is>
          <t>INR</t>
        </is>
      </c>
      <c r="D335" t="inlineStr">
        <is>
          <t>captured</t>
        </is>
      </c>
      <c r="E335" t="inlineStr">
        <is>
          <t>order_4lPeCtONMXwYiF</t>
        </is>
      </c>
      <c r="G335" t="n">
        <v>0</v>
      </c>
      <c r="H335" t="inlineStr">
        <is>
          <t>upi</t>
        </is>
      </c>
      <c r="I335" t="n">
        <v>0</v>
      </c>
      <c r="J335" t="n">
        <v>0</v>
      </c>
      <c r="L335" t="n">
        <v>1</v>
      </c>
      <c r="R335" t="inlineStr">
        <is>
          <t>customer692@example.com</t>
        </is>
      </c>
      <c r="S335">
        <f>+919820104811</f>
        <v/>
      </c>
      <c r="T335" t="inlineStr">
        <is>
          <t>[]</t>
        </is>
      </c>
      <c r="U335" t="n">
        <v>29.98</v>
      </c>
      <c r="V335" t="n">
        <v>5.4</v>
      </c>
      <c r="Y335" s="1" t="n">
        <v>46162.96390046296</v>
      </c>
    </row>
    <row r="336">
      <c r="A336" t="inlineStr">
        <is>
          <t>pay_sHEl9V3s446ljf</t>
        </is>
      </c>
      <c r="B336" t="n">
        <v>999</v>
      </c>
      <c r="C336" t="inlineStr">
        <is>
          <t>INR</t>
        </is>
      </c>
      <c r="D336" t="inlineStr">
        <is>
          <t>failed</t>
        </is>
      </c>
      <c r="E336" t="inlineStr">
        <is>
          <t>order_00CS63OMwQiCff</t>
        </is>
      </c>
      <c r="G336" t="n">
        <v>0</v>
      </c>
      <c r="H336" t="inlineStr">
        <is>
          <t>upi</t>
        </is>
      </c>
      <c r="I336" t="n">
        <v>0</v>
      </c>
      <c r="J336" t="n">
        <v>0</v>
      </c>
      <c r="L336" t="n">
        <v>0</v>
      </c>
      <c r="R336" t="inlineStr">
        <is>
          <t>customer93@example.com</t>
        </is>
      </c>
      <c r="S336">
        <f>+919895134536</f>
        <v/>
      </c>
      <c r="T336" t="inlineStr">
        <is>
          <t>[]</t>
        </is>
      </c>
      <c r="W336" t="inlineStr">
        <is>
          <t>BAD_REQUEST_ERROR</t>
        </is>
      </c>
      <c r="X336" t="inlineStr">
        <is>
          <t>Payment was not completed on time</t>
        </is>
      </c>
      <c r="Y336" s="1" t="n">
        <v>46159.97857638889</v>
      </c>
    </row>
    <row r="337">
      <c r="A337" t="inlineStr">
        <is>
          <t>pay_cS7szTs09nDjIy</t>
        </is>
      </c>
      <c r="B337" t="n">
        <v>999</v>
      </c>
      <c r="C337" t="inlineStr">
        <is>
          <t>INR</t>
        </is>
      </c>
      <c r="D337" t="inlineStr">
        <is>
          <t>captured</t>
        </is>
      </c>
      <c r="E337" t="inlineStr">
        <is>
          <t>order_00CS63OMwQiCff</t>
        </is>
      </c>
      <c r="G337" t="n">
        <v>0</v>
      </c>
      <c r="H337" t="inlineStr">
        <is>
          <t>upi</t>
        </is>
      </c>
      <c r="I337" t="n">
        <v>0</v>
      </c>
      <c r="J337" t="n">
        <v>0</v>
      </c>
      <c r="L337" t="n">
        <v>1</v>
      </c>
      <c r="R337" t="inlineStr">
        <is>
          <t>customer782@example.com</t>
        </is>
      </c>
      <c r="S337">
        <f>+919870363095</f>
        <v/>
      </c>
      <c r="T337" t="inlineStr">
        <is>
          <t>[]</t>
        </is>
      </c>
      <c r="U337" t="n">
        <v>19.98</v>
      </c>
      <c r="V337" t="n">
        <v>3.6</v>
      </c>
      <c r="Y337" s="1" t="n">
        <v>46159.98318287037</v>
      </c>
    </row>
    <row r="338">
      <c r="A338" t="inlineStr">
        <is>
          <t>pay_e2e3oRKouoHrHr</t>
        </is>
      </c>
      <c r="B338" t="n">
        <v>999</v>
      </c>
      <c r="C338" t="inlineStr">
        <is>
          <t>INR</t>
        </is>
      </c>
      <c r="D338" t="inlineStr">
        <is>
          <t>captured</t>
        </is>
      </c>
      <c r="E338" t="inlineStr">
        <is>
          <t>order_li2cdsw2dunyLP</t>
        </is>
      </c>
      <c r="G338" t="n">
        <v>0</v>
      </c>
      <c r="H338" t="inlineStr">
        <is>
          <t>upi</t>
        </is>
      </c>
      <c r="I338" t="n">
        <v>0</v>
      </c>
      <c r="J338" t="n">
        <v>0</v>
      </c>
      <c r="L338" t="n">
        <v>1</v>
      </c>
      <c r="R338" t="inlineStr">
        <is>
          <t>customer124@example.com</t>
        </is>
      </c>
      <c r="S338">
        <f>+919843904844</f>
        <v/>
      </c>
      <c r="T338" t="inlineStr">
        <is>
          <t>[]</t>
        </is>
      </c>
      <c r="U338" t="n">
        <v>19.98</v>
      </c>
      <c r="V338" t="n">
        <v>3.6</v>
      </c>
      <c r="Y338" s="1" t="n">
        <v>46168.00673611111</v>
      </c>
    </row>
    <row r="339">
      <c r="A339" t="inlineStr">
        <is>
          <t>pay_HPb2qDnPzKzFf8</t>
        </is>
      </c>
      <c r="B339" t="n">
        <v>1499</v>
      </c>
      <c r="C339" t="inlineStr">
        <is>
          <t>INR</t>
        </is>
      </c>
      <c r="D339" t="inlineStr">
        <is>
          <t>captured</t>
        </is>
      </c>
      <c r="E339" t="inlineStr">
        <is>
          <t>order_dTy3zIAf7gGTdp</t>
        </is>
      </c>
      <c r="G339" t="n">
        <v>0</v>
      </c>
      <c r="H339" t="inlineStr">
        <is>
          <t>netbanking</t>
        </is>
      </c>
      <c r="I339" t="n">
        <v>0</v>
      </c>
      <c r="J339" t="n">
        <v>0</v>
      </c>
      <c r="L339" t="n">
        <v>1</v>
      </c>
      <c r="R339" t="inlineStr">
        <is>
          <t>customer436@example.com</t>
        </is>
      </c>
      <c r="S339">
        <f>+919854427546</f>
        <v/>
      </c>
      <c r="T339" t="inlineStr">
        <is>
          <t>[]</t>
        </is>
      </c>
      <c r="U339" t="n">
        <v>29.98</v>
      </c>
      <c r="V339" t="n">
        <v>5.4</v>
      </c>
      <c r="Y339" s="1" t="n">
        <v>46155.70212962963</v>
      </c>
    </row>
    <row r="340">
      <c r="A340" t="inlineStr">
        <is>
          <t>pay_cnA5oaRRi516ZH</t>
        </is>
      </c>
      <c r="B340" t="n">
        <v>2499</v>
      </c>
      <c r="C340" t="inlineStr">
        <is>
          <t>INR</t>
        </is>
      </c>
      <c r="D340" t="inlineStr">
        <is>
          <t>captured</t>
        </is>
      </c>
      <c r="E340" t="inlineStr">
        <is>
          <t>order_KnW7D8BbCv4G7k</t>
        </is>
      </c>
      <c r="G340" t="n">
        <v>0</v>
      </c>
      <c r="H340" t="inlineStr">
        <is>
          <t>upi</t>
        </is>
      </c>
      <c r="I340" t="n">
        <v>0</v>
      </c>
      <c r="J340" t="n">
        <v>0</v>
      </c>
      <c r="L340" t="n">
        <v>1</v>
      </c>
      <c r="R340" t="inlineStr">
        <is>
          <t>customer719@example.com</t>
        </is>
      </c>
      <c r="S340">
        <f>+919826639475</f>
        <v/>
      </c>
      <c r="T340" t="inlineStr">
        <is>
          <t>[]</t>
        </is>
      </c>
      <c r="U340" t="n">
        <v>49.98</v>
      </c>
      <c r="V340" t="n">
        <v>9</v>
      </c>
      <c r="Y340" s="1" t="n">
        <v>46146.71165509259</v>
      </c>
    </row>
    <row r="341">
      <c r="A341" t="inlineStr">
        <is>
          <t>pay_972fyjLFfeCMzD</t>
        </is>
      </c>
      <c r="B341" t="n">
        <v>1799</v>
      </c>
      <c r="C341" t="inlineStr">
        <is>
          <t>INR</t>
        </is>
      </c>
      <c r="D341" t="inlineStr">
        <is>
          <t>failed</t>
        </is>
      </c>
      <c r="E341" t="inlineStr">
        <is>
          <t>order_iaeXRjut5zSfcn</t>
        </is>
      </c>
      <c r="G341" t="n">
        <v>0</v>
      </c>
      <c r="H341" t="inlineStr">
        <is>
          <t>card</t>
        </is>
      </c>
      <c r="I341" t="n">
        <v>0</v>
      </c>
      <c r="J341" t="n">
        <v>0</v>
      </c>
      <c r="L341" t="n">
        <v>0</v>
      </c>
      <c r="R341" t="inlineStr">
        <is>
          <t>customer650@example.com</t>
        </is>
      </c>
      <c r="S341">
        <f>+919883738313</f>
        <v/>
      </c>
      <c r="T341" t="inlineStr">
        <is>
          <t>[]</t>
        </is>
      </c>
      <c r="W341" t="inlineStr">
        <is>
          <t>BAD_REQUEST_ERROR</t>
        </is>
      </c>
      <c r="X341" t="inlineStr">
        <is>
          <t>Payment cancelled by user</t>
        </is>
      </c>
      <c r="Y341" s="1" t="n">
        <v>46162.93859953704</v>
      </c>
    </row>
    <row r="342">
      <c r="A342" t="inlineStr">
        <is>
          <t>pay_YFgyegXaycV9cw</t>
        </is>
      </c>
      <c r="B342" t="n">
        <v>1499</v>
      </c>
      <c r="C342" t="inlineStr">
        <is>
          <t>INR</t>
        </is>
      </c>
      <c r="D342" t="inlineStr">
        <is>
          <t>captured</t>
        </is>
      </c>
      <c r="E342" t="inlineStr">
        <is>
          <t>order_k1cmlKMgFJQeTq</t>
        </is>
      </c>
      <c r="G342" t="n">
        <v>0</v>
      </c>
      <c r="H342" t="inlineStr">
        <is>
          <t>upi</t>
        </is>
      </c>
      <c r="I342" t="n">
        <v>0</v>
      </c>
      <c r="J342" t="n">
        <v>0</v>
      </c>
      <c r="L342" t="n">
        <v>1</v>
      </c>
      <c r="R342" t="inlineStr">
        <is>
          <t>customer385@example.com</t>
        </is>
      </c>
      <c r="S342">
        <f>+919843673041</f>
        <v/>
      </c>
      <c r="T342" t="inlineStr">
        <is>
          <t>[]</t>
        </is>
      </c>
      <c r="U342" t="n">
        <v>29.98</v>
      </c>
      <c r="V342" t="n">
        <v>5.4</v>
      </c>
      <c r="Y342" s="1" t="n">
        <v>46153.06350694445</v>
      </c>
    </row>
    <row r="343">
      <c r="A343" t="inlineStr">
        <is>
          <t>pay_OW6fmx7CSZCxWN</t>
        </is>
      </c>
      <c r="B343" t="n">
        <v>499</v>
      </c>
      <c r="C343" t="inlineStr">
        <is>
          <t>INR</t>
        </is>
      </c>
      <c r="D343" t="inlineStr">
        <is>
          <t>captured</t>
        </is>
      </c>
      <c r="E343" t="inlineStr">
        <is>
          <t>order_atjV1H6omxBm5U</t>
        </is>
      </c>
      <c r="G343" t="n">
        <v>0</v>
      </c>
      <c r="H343" t="inlineStr">
        <is>
          <t>upi</t>
        </is>
      </c>
      <c r="I343" t="n">
        <v>0</v>
      </c>
      <c r="J343" t="n">
        <v>0</v>
      </c>
      <c r="L343" t="n">
        <v>1</v>
      </c>
      <c r="R343" t="inlineStr">
        <is>
          <t>customer278@example.com</t>
        </is>
      </c>
      <c r="S343">
        <f>+919827132706</f>
        <v/>
      </c>
      <c r="T343" t="inlineStr">
        <is>
          <t>[]</t>
        </is>
      </c>
      <c r="U343" t="n">
        <v>9.98</v>
      </c>
      <c r="V343" t="n">
        <v>1.8</v>
      </c>
      <c r="Y343" s="1" t="n">
        <v>46153.69049768519</v>
      </c>
    </row>
    <row r="344">
      <c r="A344" t="inlineStr">
        <is>
          <t>pay_f59EmrXQeG51hj</t>
        </is>
      </c>
      <c r="B344" t="n">
        <v>1799</v>
      </c>
      <c r="C344" t="inlineStr">
        <is>
          <t>INR</t>
        </is>
      </c>
      <c r="D344" t="inlineStr">
        <is>
          <t>captured</t>
        </is>
      </c>
      <c r="E344" t="inlineStr">
        <is>
          <t>order_Qdwk8za5KBZCOP</t>
        </is>
      </c>
      <c r="G344" t="n">
        <v>0</v>
      </c>
      <c r="H344" t="inlineStr">
        <is>
          <t>upi</t>
        </is>
      </c>
      <c r="I344" t="n">
        <v>0</v>
      </c>
      <c r="J344" t="n">
        <v>0</v>
      </c>
      <c r="L344" t="n">
        <v>1</v>
      </c>
      <c r="R344" t="inlineStr">
        <is>
          <t>customer65@example.com</t>
        </is>
      </c>
      <c r="S344">
        <f>+919851796362</f>
        <v/>
      </c>
      <c r="T344" t="inlineStr">
        <is>
          <t>[]</t>
        </is>
      </c>
      <c r="U344" t="n">
        <v>35.98</v>
      </c>
      <c r="V344" t="n">
        <v>6.48</v>
      </c>
      <c r="Y344" s="1" t="n">
        <v>46166.62328703704</v>
      </c>
    </row>
    <row r="345">
      <c r="A345" t="inlineStr">
        <is>
          <t>pay_aoTd9qUsahQ9KN</t>
        </is>
      </c>
      <c r="B345" t="n">
        <v>1499</v>
      </c>
      <c r="C345" t="inlineStr">
        <is>
          <t>INR</t>
        </is>
      </c>
      <c r="D345" t="inlineStr">
        <is>
          <t>failed</t>
        </is>
      </c>
      <c r="E345" t="inlineStr">
        <is>
          <t>order_p4LPGzKQIPo9Mx</t>
        </is>
      </c>
      <c r="G345" t="n">
        <v>0</v>
      </c>
      <c r="H345" t="inlineStr">
        <is>
          <t>card</t>
        </is>
      </c>
      <c r="I345" t="n">
        <v>0</v>
      </c>
      <c r="J345" t="n">
        <v>0</v>
      </c>
      <c r="L345" t="n">
        <v>0</v>
      </c>
      <c r="R345" t="inlineStr">
        <is>
          <t>customer176@example.com</t>
        </is>
      </c>
      <c r="S345">
        <f>+919811724424</f>
        <v/>
      </c>
      <c r="T345" t="inlineStr">
        <is>
          <t>[]</t>
        </is>
      </c>
      <c r="W345" t="inlineStr">
        <is>
          <t>BAD_REQUEST_ERROR</t>
        </is>
      </c>
      <c r="X345" t="inlineStr">
        <is>
          <t>Card declined by bank</t>
        </is>
      </c>
      <c r="Y345" s="1" t="n">
        <v>46158.57650462963</v>
      </c>
    </row>
    <row r="346">
      <c r="A346" t="inlineStr">
        <is>
          <t>pay_sif2VT4ykfyVfB</t>
        </is>
      </c>
      <c r="B346" t="n">
        <v>1499</v>
      </c>
      <c r="C346" t="inlineStr">
        <is>
          <t>INR</t>
        </is>
      </c>
      <c r="D346" t="inlineStr">
        <is>
          <t>failed</t>
        </is>
      </c>
      <c r="E346" t="inlineStr">
        <is>
          <t>order_7IHc8LSg9gzm8C</t>
        </is>
      </c>
      <c r="G346" t="n">
        <v>0</v>
      </c>
      <c r="H346" t="inlineStr">
        <is>
          <t>upi</t>
        </is>
      </c>
      <c r="I346" t="n">
        <v>0</v>
      </c>
      <c r="J346" t="n">
        <v>0</v>
      </c>
      <c r="L346" t="n">
        <v>0</v>
      </c>
      <c r="R346" t="inlineStr">
        <is>
          <t>customer84@example.com</t>
        </is>
      </c>
      <c r="S346">
        <f>+919831060547</f>
        <v/>
      </c>
      <c r="T346" t="inlineStr">
        <is>
          <t>[]</t>
        </is>
      </c>
      <c r="W346" t="inlineStr">
        <is>
          <t>BAD_REQUEST_ERROR</t>
        </is>
      </c>
      <c r="X346" t="inlineStr">
        <is>
          <t>Payment was not completed on time</t>
        </is>
      </c>
      <c r="Y346" s="1" t="n">
        <v>46164.27927083334</v>
      </c>
    </row>
    <row r="347">
      <c r="A347" t="inlineStr">
        <is>
          <t>pay_7LFMOLrnL52EsK</t>
        </is>
      </c>
      <c r="B347" t="n">
        <v>999</v>
      </c>
      <c r="C347" t="inlineStr">
        <is>
          <t>INR</t>
        </is>
      </c>
      <c r="D347" t="inlineStr">
        <is>
          <t>captured</t>
        </is>
      </c>
      <c r="E347" t="inlineStr">
        <is>
          <t>order_O39hKGNsiWTSI7</t>
        </is>
      </c>
      <c r="G347" t="n">
        <v>0</v>
      </c>
      <c r="H347" t="inlineStr">
        <is>
          <t>netbanking</t>
        </is>
      </c>
      <c r="I347" t="n">
        <v>0</v>
      </c>
      <c r="J347" t="n">
        <v>0</v>
      </c>
      <c r="L347" t="n">
        <v>1</v>
      </c>
      <c r="R347" t="inlineStr">
        <is>
          <t>customer48@example.com</t>
        </is>
      </c>
      <c r="S347">
        <f>+919873890027</f>
        <v/>
      </c>
      <c r="T347" t="inlineStr">
        <is>
          <t>[]</t>
        </is>
      </c>
      <c r="U347" t="n">
        <v>19.98</v>
      </c>
      <c r="V347" t="n">
        <v>3.6</v>
      </c>
      <c r="Y347" s="1" t="n">
        <v>46168.61956018519</v>
      </c>
    </row>
    <row r="348">
      <c r="A348" t="inlineStr">
        <is>
          <t>pay_HQVyw4eWCHp6st</t>
        </is>
      </c>
      <c r="B348" t="n">
        <v>999</v>
      </c>
      <c r="C348" t="inlineStr">
        <is>
          <t>INR</t>
        </is>
      </c>
      <c r="D348" t="inlineStr">
        <is>
          <t>captured</t>
        </is>
      </c>
      <c r="E348" t="inlineStr">
        <is>
          <t>order_UpYxBt5oZ68e2k</t>
        </is>
      </c>
      <c r="G348" t="n">
        <v>0</v>
      </c>
      <c r="H348" t="inlineStr">
        <is>
          <t>upi</t>
        </is>
      </c>
      <c r="I348" t="n">
        <v>0</v>
      </c>
      <c r="J348" t="n">
        <v>0</v>
      </c>
      <c r="L348" t="n">
        <v>1</v>
      </c>
      <c r="R348" t="inlineStr">
        <is>
          <t>customer61@example.com</t>
        </is>
      </c>
      <c r="S348">
        <f>+919816682384</f>
        <v/>
      </c>
      <c r="T348" t="inlineStr">
        <is>
          <t>[]</t>
        </is>
      </c>
      <c r="U348" t="n">
        <v>19.98</v>
      </c>
      <c r="V348" t="n">
        <v>3.6</v>
      </c>
      <c r="Y348" s="1" t="n">
        <v>46167.12101851852</v>
      </c>
    </row>
    <row r="349">
      <c r="A349" t="inlineStr">
        <is>
          <t>pay_EERmKFsElNhBdH</t>
        </is>
      </c>
      <c r="B349" t="n">
        <v>499</v>
      </c>
      <c r="C349" t="inlineStr">
        <is>
          <t>INR</t>
        </is>
      </c>
      <c r="D349" t="inlineStr">
        <is>
          <t>failed</t>
        </is>
      </c>
      <c r="E349" t="inlineStr">
        <is>
          <t>order_jrbE0SF8stqLCh</t>
        </is>
      </c>
      <c r="G349" t="n">
        <v>0</v>
      </c>
      <c r="H349" t="inlineStr">
        <is>
          <t>card</t>
        </is>
      </c>
      <c r="I349" t="n">
        <v>0</v>
      </c>
      <c r="J349" t="n">
        <v>0</v>
      </c>
      <c r="L349" t="n">
        <v>0</v>
      </c>
      <c r="R349" t="inlineStr">
        <is>
          <t>customer100@example.com</t>
        </is>
      </c>
      <c r="S349">
        <f>+919871346021</f>
        <v/>
      </c>
      <c r="T349" t="inlineStr">
        <is>
          <t>[]</t>
        </is>
      </c>
      <c r="W349" t="inlineStr">
        <is>
          <t>BAD_REQUEST_ERROR</t>
        </is>
      </c>
      <c r="X349" t="inlineStr">
        <is>
          <t>Payment failed due to incorrect OTP</t>
        </is>
      </c>
      <c r="Y349" s="1" t="n">
        <v>46166.3640625</v>
      </c>
    </row>
    <row r="350">
      <c r="A350" t="inlineStr">
        <is>
          <t>pay_nwvuOscfG857Vc</t>
        </is>
      </c>
      <c r="B350" t="n">
        <v>499</v>
      </c>
      <c r="C350" t="inlineStr">
        <is>
          <t>INR</t>
        </is>
      </c>
      <c r="D350" t="inlineStr">
        <is>
          <t>failed</t>
        </is>
      </c>
      <c r="E350" t="inlineStr">
        <is>
          <t>order_jrbE0SF8stqLCh</t>
        </is>
      </c>
      <c r="G350" t="n">
        <v>0</v>
      </c>
      <c r="H350" t="inlineStr">
        <is>
          <t>card</t>
        </is>
      </c>
      <c r="I350" t="n">
        <v>0</v>
      </c>
      <c r="J350" t="n">
        <v>0</v>
      </c>
      <c r="L350" t="n">
        <v>0</v>
      </c>
      <c r="R350" t="inlineStr">
        <is>
          <t>customer795@example.com</t>
        </is>
      </c>
      <c r="S350">
        <f>+919865838489</f>
        <v/>
      </c>
      <c r="T350" t="inlineStr">
        <is>
          <t>[]</t>
        </is>
      </c>
      <c r="W350" t="inlineStr">
        <is>
          <t>BAD_REQUEST_ERROR</t>
        </is>
      </c>
      <c r="X350" t="inlineStr">
        <is>
          <t>Payment failed due to incorrect OTP</t>
        </is>
      </c>
      <c r="Y350" s="1" t="n">
        <v>46166.36783564815</v>
      </c>
    </row>
    <row r="351">
      <c r="A351" t="inlineStr">
        <is>
          <t>pay_9fKqzDOv1ZUWTf</t>
        </is>
      </c>
      <c r="B351" t="n">
        <v>499</v>
      </c>
      <c r="C351" t="inlineStr">
        <is>
          <t>INR</t>
        </is>
      </c>
      <c r="D351" t="inlineStr">
        <is>
          <t>failed</t>
        </is>
      </c>
      <c r="E351" t="inlineStr">
        <is>
          <t>order_pjV6pKZxAAswZh</t>
        </is>
      </c>
      <c r="G351" t="n">
        <v>0</v>
      </c>
      <c r="H351" t="inlineStr">
        <is>
          <t>upi</t>
        </is>
      </c>
      <c r="I351" t="n">
        <v>0</v>
      </c>
      <c r="J351" t="n">
        <v>0</v>
      </c>
      <c r="L351" t="n">
        <v>0</v>
      </c>
      <c r="R351" t="inlineStr">
        <is>
          <t>customer760@example.com</t>
        </is>
      </c>
      <c r="S351">
        <f>+919817503189</f>
        <v/>
      </c>
      <c r="T351" t="inlineStr">
        <is>
          <t>[]</t>
        </is>
      </c>
      <c r="W351" t="inlineStr">
        <is>
          <t>BAD_REQUEST_ERROR</t>
        </is>
      </c>
      <c r="X351" t="inlineStr">
        <is>
          <t>Payment was not completed on time</t>
        </is>
      </c>
      <c r="Y351" s="1" t="n">
        <v>46171.86800925926</v>
      </c>
    </row>
    <row r="352">
      <c r="A352" t="inlineStr">
        <is>
          <t>pay_bvhZk5vjRlwBNG</t>
        </is>
      </c>
      <c r="B352" t="n">
        <v>1799</v>
      </c>
      <c r="C352" t="inlineStr">
        <is>
          <t>INR</t>
        </is>
      </c>
      <c r="D352" t="inlineStr">
        <is>
          <t>captured</t>
        </is>
      </c>
      <c r="E352" t="inlineStr">
        <is>
          <t>order_wFqzwgXBBs26gH</t>
        </is>
      </c>
      <c r="G352" t="n">
        <v>0</v>
      </c>
      <c r="H352" t="inlineStr">
        <is>
          <t>upi</t>
        </is>
      </c>
      <c r="I352" t="n">
        <v>0</v>
      </c>
      <c r="J352" t="n">
        <v>0</v>
      </c>
      <c r="L352" t="n">
        <v>1</v>
      </c>
      <c r="R352" t="inlineStr">
        <is>
          <t>customer680@example.com</t>
        </is>
      </c>
      <c r="S352">
        <f>+919815377686</f>
        <v/>
      </c>
      <c r="T352" t="inlineStr">
        <is>
          <t>[]</t>
        </is>
      </c>
      <c r="U352" t="n">
        <v>35.98</v>
      </c>
      <c r="V352" t="n">
        <v>6.48</v>
      </c>
      <c r="Y352" s="1" t="n">
        <v>46149.55240740741</v>
      </c>
    </row>
    <row r="353">
      <c r="A353" t="inlineStr">
        <is>
          <t>pay_PHAsGXSaF1iHJy</t>
        </is>
      </c>
      <c r="B353" t="n">
        <v>1499</v>
      </c>
      <c r="C353" t="inlineStr">
        <is>
          <t>INR</t>
        </is>
      </c>
      <c r="D353" t="inlineStr">
        <is>
          <t>failed</t>
        </is>
      </c>
      <c r="E353" t="inlineStr">
        <is>
          <t>order_hIZbbnXIEWADtG</t>
        </is>
      </c>
      <c r="G353" t="n">
        <v>0</v>
      </c>
      <c r="H353" t="inlineStr">
        <is>
          <t>card</t>
        </is>
      </c>
      <c r="I353" t="n">
        <v>0</v>
      </c>
      <c r="J353" t="n">
        <v>0</v>
      </c>
      <c r="L353" t="n">
        <v>0</v>
      </c>
      <c r="R353" t="inlineStr">
        <is>
          <t>customer178@example.com</t>
        </is>
      </c>
      <c r="S353">
        <f>+919876404157</f>
        <v/>
      </c>
      <c r="T353" t="inlineStr">
        <is>
          <t>[]</t>
        </is>
      </c>
      <c r="W353" t="inlineStr">
        <is>
          <t>BAD_REQUEST_ERROR</t>
        </is>
      </c>
      <c r="X353" t="inlineStr">
        <is>
          <t>Payment cancelled by user</t>
        </is>
      </c>
      <c r="Y353" s="1" t="n">
        <v>46173.14623842593</v>
      </c>
    </row>
    <row r="354">
      <c r="A354" t="inlineStr">
        <is>
          <t>pay_zSjDm1WyWHOoVO</t>
        </is>
      </c>
      <c r="B354" t="n">
        <v>2499</v>
      </c>
      <c r="C354" t="inlineStr">
        <is>
          <t>INR</t>
        </is>
      </c>
      <c r="D354" t="inlineStr">
        <is>
          <t>captured</t>
        </is>
      </c>
      <c r="E354" t="inlineStr">
        <is>
          <t>order_bm3z6tGGz9yXFv</t>
        </is>
      </c>
      <c r="G354" t="n">
        <v>0</v>
      </c>
      <c r="H354" t="inlineStr">
        <is>
          <t>card</t>
        </is>
      </c>
      <c r="I354" t="n">
        <v>0</v>
      </c>
      <c r="J354" t="n">
        <v>0</v>
      </c>
      <c r="L354" t="n">
        <v>1</v>
      </c>
      <c r="R354" t="inlineStr">
        <is>
          <t>customer535@example.com</t>
        </is>
      </c>
      <c r="S354">
        <f>+919845205600</f>
        <v/>
      </c>
      <c r="T354" t="inlineStr">
        <is>
          <t>[]</t>
        </is>
      </c>
      <c r="U354" t="n">
        <v>49.98</v>
      </c>
      <c r="V354" t="n">
        <v>9</v>
      </c>
      <c r="Y354" s="1" t="n">
        <v>46144.05570601852</v>
      </c>
    </row>
    <row r="355">
      <c r="A355" t="inlineStr">
        <is>
          <t>pay_Bi9mBLPi0xfAMw</t>
        </is>
      </c>
      <c r="B355" t="n">
        <v>1499</v>
      </c>
      <c r="C355" t="inlineStr">
        <is>
          <t>INR</t>
        </is>
      </c>
      <c r="D355" t="inlineStr">
        <is>
          <t>captured</t>
        </is>
      </c>
      <c r="E355" t="inlineStr">
        <is>
          <t>order_l1RcWpvHaEO44L</t>
        </is>
      </c>
      <c r="G355" t="n">
        <v>0</v>
      </c>
      <c r="H355" t="inlineStr">
        <is>
          <t>upi</t>
        </is>
      </c>
      <c r="I355" t="n">
        <v>0</v>
      </c>
      <c r="J355" t="n">
        <v>0</v>
      </c>
      <c r="L355" t="n">
        <v>1</v>
      </c>
      <c r="R355" t="inlineStr">
        <is>
          <t>customer746@example.com</t>
        </is>
      </c>
      <c r="S355">
        <f>+919891515922</f>
        <v/>
      </c>
      <c r="T355" t="inlineStr">
        <is>
          <t>[]</t>
        </is>
      </c>
      <c r="U355" t="n">
        <v>29.98</v>
      </c>
      <c r="V355" t="n">
        <v>5.4</v>
      </c>
      <c r="Y355" s="1" t="n">
        <v>46168.29266203703</v>
      </c>
    </row>
    <row r="356">
      <c r="A356" t="inlineStr">
        <is>
          <t>pay_FougqrQjj8Nf1V</t>
        </is>
      </c>
      <c r="B356" t="n">
        <v>1799</v>
      </c>
      <c r="C356" t="inlineStr">
        <is>
          <t>INR</t>
        </is>
      </c>
      <c r="D356" t="inlineStr">
        <is>
          <t>captured</t>
        </is>
      </c>
      <c r="E356" t="inlineStr">
        <is>
          <t>order_TDX2a5cNeUAi0p</t>
        </is>
      </c>
      <c r="G356" t="n">
        <v>0</v>
      </c>
      <c r="H356" t="inlineStr">
        <is>
          <t>upi</t>
        </is>
      </c>
      <c r="I356" t="n">
        <v>0</v>
      </c>
      <c r="J356" t="n">
        <v>0</v>
      </c>
      <c r="L356" t="n">
        <v>1</v>
      </c>
      <c r="R356" t="inlineStr">
        <is>
          <t>customer625@example.com</t>
        </is>
      </c>
      <c r="S356">
        <f>+919839024070</f>
        <v/>
      </c>
      <c r="T356" t="inlineStr">
        <is>
          <t>[]</t>
        </is>
      </c>
      <c r="U356" t="n">
        <v>35.98</v>
      </c>
      <c r="V356" t="n">
        <v>6.48</v>
      </c>
      <c r="Y356" s="1" t="n">
        <v>46150.0589699074</v>
      </c>
    </row>
    <row r="357">
      <c r="A357" t="inlineStr">
        <is>
          <t>pay_R1Vd9bVD56UfOh</t>
        </is>
      </c>
      <c r="B357" t="n">
        <v>1499</v>
      </c>
      <c r="C357" t="inlineStr">
        <is>
          <t>INR</t>
        </is>
      </c>
      <c r="D357" t="inlineStr">
        <is>
          <t>captured</t>
        </is>
      </c>
      <c r="E357" t="inlineStr">
        <is>
          <t>order_psnvKITrbJtnz6</t>
        </is>
      </c>
      <c r="G357" t="n">
        <v>0</v>
      </c>
      <c r="H357" t="inlineStr">
        <is>
          <t>card</t>
        </is>
      </c>
      <c r="I357" t="n">
        <v>0</v>
      </c>
      <c r="J357" t="n">
        <v>0</v>
      </c>
      <c r="L357" t="n">
        <v>1</v>
      </c>
      <c r="R357" t="inlineStr">
        <is>
          <t>customer435@example.com</t>
        </is>
      </c>
      <c r="S357">
        <f>+919831020801</f>
        <v/>
      </c>
      <c r="T357" t="inlineStr">
        <is>
          <t>[]</t>
        </is>
      </c>
      <c r="U357" t="n">
        <v>29.98</v>
      </c>
      <c r="V357" t="n">
        <v>5.4</v>
      </c>
      <c r="Y357" s="1" t="n">
        <v>46150.80347222222</v>
      </c>
    </row>
    <row r="358">
      <c r="A358" t="inlineStr">
        <is>
          <t>pay_NCa0xrTtkV7iHF</t>
        </is>
      </c>
      <c r="B358" t="n">
        <v>1499</v>
      </c>
      <c r="C358" t="inlineStr">
        <is>
          <t>INR</t>
        </is>
      </c>
      <c r="D358" t="inlineStr">
        <is>
          <t>failed</t>
        </is>
      </c>
      <c r="E358" t="inlineStr">
        <is>
          <t>order_PYztKdf9t8vUVD</t>
        </is>
      </c>
      <c r="G358" t="n">
        <v>0</v>
      </c>
      <c r="H358" t="inlineStr">
        <is>
          <t>netbanking</t>
        </is>
      </c>
      <c r="I358" t="n">
        <v>0</v>
      </c>
      <c r="J358" t="n">
        <v>0</v>
      </c>
      <c r="L358" t="n">
        <v>0</v>
      </c>
      <c r="R358" t="inlineStr">
        <is>
          <t>customer686@example.com</t>
        </is>
      </c>
      <c r="S358">
        <f>+919841629446</f>
        <v/>
      </c>
      <c r="T358" t="inlineStr">
        <is>
          <t>[]</t>
        </is>
      </c>
      <c r="W358" t="inlineStr">
        <is>
          <t>BAD_REQUEST_ERROR</t>
        </is>
      </c>
      <c r="X358" t="inlineStr">
        <is>
          <t>Payment cancelled by user</t>
        </is>
      </c>
      <c r="Y358" s="1" t="n">
        <v>46149.30173611111</v>
      </c>
    </row>
    <row r="359">
      <c r="A359" t="inlineStr">
        <is>
          <t>pay_EabIcMiWbQn9DG</t>
        </is>
      </c>
      <c r="B359" t="n">
        <v>1499</v>
      </c>
      <c r="C359" t="inlineStr">
        <is>
          <t>INR</t>
        </is>
      </c>
      <c r="D359" t="inlineStr">
        <is>
          <t>failed</t>
        </is>
      </c>
      <c r="E359" t="inlineStr">
        <is>
          <t>order_PYztKdf9t8vUVD</t>
        </is>
      </c>
      <c r="G359" t="n">
        <v>0</v>
      </c>
      <c r="H359" t="inlineStr">
        <is>
          <t>card</t>
        </is>
      </c>
      <c r="I359" t="n">
        <v>0</v>
      </c>
      <c r="J359" t="n">
        <v>0</v>
      </c>
      <c r="L359" t="n">
        <v>0</v>
      </c>
      <c r="R359" t="inlineStr">
        <is>
          <t>customer870@example.com</t>
        </is>
      </c>
      <c r="S359">
        <f>+919812789766</f>
        <v/>
      </c>
      <c r="T359" t="inlineStr">
        <is>
          <t>[]</t>
        </is>
      </c>
      <c r="W359" t="inlineStr">
        <is>
          <t>BAD_REQUEST_ERROR</t>
        </is>
      </c>
      <c r="X359" t="inlineStr">
        <is>
          <t>Payment failed due to incorrect OTP</t>
        </is>
      </c>
      <c r="Y359" s="1" t="n">
        <v>46149.30449074074</v>
      </c>
    </row>
    <row r="360">
      <c r="A360" t="inlineStr">
        <is>
          <t>pay_xo8LJMuVJPhZDR</t>
        </is>
      </c>
      <c r="B360" t="n">
        <v>999</v>
      </c>
      <c r="C360" t="inlineStr">
        <is>
          <t>INR</t>
        </is>
      </c>
      <c r="D360" t="inlineStr">
        <is>
          <t>captured</t>
        </is>
      </c>
      <c r="E360" t="inlineStr">
        <is>
          <t>order_crwLe4WU9dQ1lz</t>
        </is>
      </c>
      <c r="G360" t="n">
        <v>0</v>
      </c>
      <c r="H360" t="inlineStr">
        <is>
          <t>upi</t>
        </is>
      </c>
      <c r="I360" t="n">
        <v>0</v>
      </c>
      <c r="J360" t="n">
        <v>0</v>
      </c>
      <c r="L360" t="n">
        <v>1</v>
      </c>
      <c r="R360" t="inlineStr">
        <is>
          <t>customer243@example.com</t>
        </is>
      </c>
      <c r="S360">
        <f>+919898547275</f>
        <v/>
      </c>
      <c r="T360" t="inlineStr">
        <is>
          <t>[]</t>
        </is>
      </c>
      <c r="U360" t="n">
        <v>19.98</v>
      </c>
      <c r="V360" t="n">
        <v>3.6</v>
      </c>
      <c r="Y360" s="1" t="n">
        <v>46160.6752662037</v>
      </c>
    </row>
    <row r="361">
      <c r="A361" t="inlineStr">
        <is>
          <t>pay_waLhBlh3u7TKEO</t>
        </is>
      </c>
      <c r="B361" t="n">
        <v>1799</v>
      </c>
      <c r="C361" t="inlineStr">
        <is>
          <t>INR</t>
        </is>
      </c>
      <c r="D361" t="inlineStr">
        <is>
          <t>refunded</t>
        </is>
      </c>
      <c r="E361" t="inlineStr">
        <is>
          <t>order_i2WlQV2tF7xTDH</t>
        </is>
      </c>
      <c r="G361" t="n">
        <v>0</v>
      </c>
      <c r="H361" t="inlineStr">
        <is>
          <t>upi</t>
        </is>
      </c>
      <c r="I361" t="n">
        <v>1799</v>
      </c>
      <c r="J361" t="n">
        <v>0</v>
      </c>
      <c r="K361" t="inlineStr">
        <is>
          <t>full</t>
        </is>
      </c>
      <c r="L361" t="n">
        <v>1</v>
      </c>
      <c r="R361" t="inlineStr">
        <is>
          <t>customer831@example.com</t>
        </is>
      </c>
      <c r="S361">
        <f>+919815417462</f>
        <v/>
      </c>
      <c r="T361" t="inlineStr">
        <is>
          <t>[]</t>
        </is>
      </c>
      <c r="U361" t="n">
        <v>35.98</v>
      </c>
      <c r="V361" t="n">
        <v>6.48</v>
      </c>
      <c r="Y361" s="1" t="n">
        <v>46155.374375</v>
      </c>
    </row>
    <row r="362">
      <c r="A362" t="inlineStr">
        <is>
          <t>pay_SXAMviAuw9ehVb</t>
        </is>
      </c>
      <c r="B362" t="n">
        <v>1499</v>
      </c>
      <c r="C362" t="inlineStr">
        <is>
          <t>INR</t>
        </is>
      </c>
      <c r="D362" t="inlineStr">
        <is>
          <t>captured</t>
        </is>
      </c>
      <c r="E362" t="inlineStr">
        <is>
          <t>order_tr3bTbzqzLGSpz</t>
        </is>
      </c>
      <c r="G362" t="n">
        <v>0</v>
      </c>
      <c r="H362" t="inlineStr">
        <is>
          <t>upi</t>
        </is>
      </c>
      <c r="I362" t="n">
        <v>0</v>
      </c>
      <c r="J362" t="n">
        <v>0</v>
      </c>
      <c r="L362" t="n">
        <v>1</v>
      </c>
      <c r="R362" t="inlineStr">
        <is>
          <t>customer225@example.com</t>
        </is>
      </c>
      <c r="S362">
        <f>+919814535045</f>
        <v/>
      </c>
      <c r="T362" t="inlineStr">
        <is>
          <t>[]</t>
        </is>
      </c>
      <c r="U362" t="n">
        <v>29.98</v>
      </c>
      <c r="V362" t="n">
        <v>5.4</v>
      </c>
      <c r="Y362" s="1" t="n">
        <v>46152.23289351852</v>
      </c>
    </row>
    <row r="363">
      <c r="A363" t="inlineStr">
        <is>
          <t>pay_nGvEaOuEB8oEVy</t>
        </is>
      </c>
      <c r="B363" t="n">
        <v>1799</v>
      </c>
      <c r="C363" t="inlineStr">
        <is>
          <t>INR</t>
        </is>
      </c>
      <c r="D363" t="inlineStr">
        <is>
          <t>captured</t>
        </is>
      </c>
      <c r="E363" t="inlineStr">
        <is>
          <t>order_ebH8FPWDjZSznd</t>
        </is>
      </c>
      <c r="G363" t="n">
        <v>0</v>
      </c>
      <c r="H363" t="inlineStr">
        <is>
          <t>card</t>
        </is>
      </c>
      <c r="I363" t="n">
        <v>0</v>
      </c>
      <c r="J363" t="n">
        <v>0</v>
      </c>
      <c r="L363" t="n">
        <v>1</v>
      </c>
      <c r="R363" t="inlineStr">
        <is>
          <t>customer61@example.com</t>
        </is>
      </c>
      <c r="S363">
        <f>+919851685789</f>
        <v/>
      </c>
      <c r="T363" t="inlineStr">
        <is>
          <t>[]</t>
        </is>
      </c>
      <c r="U363" t="n">
        <v>35.98</v>
      </c>
      <c r="V363" t="n">
        <v>6.48</v>
      </c>
      <c r="Y363" s="1" t="n">
        <v>46156.32224537037</v>
      </c>
    </row>
    <row r="364">
      <c r="A364" t="inlineStr">
        <is>
          <t>pay_xt95LlHyEnU7c3</t>
        </is>
      </c>
      <c r="B364" t="n">
        <v>999</v>
      </c>
      <c r="C364" t="inlineStr">
        <is>
          <t>INR</t>
        </is>
      </c>
      <c r="D364" t="inlineStr">
        <is>
          <t>captured</t>
        </is>
      </c>
      <c r="E364" t="inlineStr">
        <is>
          <t>order_lMydjWyWMavLpi</t>
        </is>
      </c>
      <c r="G364" t="n">
        <v>0</v>
      </c>
      <c r="H364" t="inlineStr">
        <is>
          <t>card</t>
        </is>
      </c>
      <c r="I364" t="n">
        <v>0</v>
      </c>
      <c r="J364" t="n">
        <v>0</v>
      </c>
      <c r="L364" t="n">
        <v>1</v>
      </c>
      <c r="R364" t="inlineStr">
        <is>
          <t>customer30@example.com</t>
        </is>
      </c>
      <c r="S364">
        <f>+919827350632</f>
        <v/>
      </c>
      <c r="T364" t="inlineStr">
        <is>
          <t>[]</t>
        </is>
      </c>
      <c r="U364" t="n">
        <v>19.98</v>
      </c>
      <c r="V364" t="n">
        <v>3.6</v>
      </c>
      <c r="Y364" s="1" t="n">
        <v>46143.76817129629</v>
      </c>
    </row>
    <row r="365">
      <c r="A365" t="inlineStr">
        <is>
          <t>pay_p7sfq0zp5lRFFz</t>
        </is>
      </c>
      <c r="B365" t="n">
        <v>3999</v>
      </c>
      <c r="C365" t="inlineStr">
        <is>
          <t>INR</t>
        </is>
      </c>
      <c r="D365" t="inlineStr">
        <is>
          <t>captured</t>
        </is>
      </c>
      <c r="E365" t="inlineStr">
        <is>
          <t>order_5jF4wd0OSxCvO7</t>
        </is>
      </c>
      <c r="G365" t="n">
        <v>0</v>
      </c>
      <c r="H365" t="inlineStr">
        <is>
          <t>upi</t>
        </is>
      </c>
      <c r="I365" t="n">
        <v>0</v>
      </c>
      <c r="J365" t="n">
        <v>0</v>
      </c>
      <c r="L365" t="n">
        <v>1</v>
      </c>
      <c r="R365" t="inlineStr">
        <is>
          <t>customer350@example.com</t>
        </is>
      </c>
      <c r="S365">
        <f>+919879697401</f>
        <v/>
      </c>
      <c r="T365" t="inlineStr">
        <is>
          <t>[]</t>
        </is>
      </c>
      <c r="U365" t="n">
        <v>79.98</v>
      </c>
      <c r="V365" t="n">
        <v>14.4</v>
      </c>
      <c r="Y365" s="1" t="n">
        <v>46147.62121527778</v>
      </c>
    </row>
    <row r="366">
      <c r="A366" t="inlineStr">
        <is>
          <t>pay_bFxBYBHV1KGgxl</t>
        </is>
      </c>
      <c r="B366" t="n">
        <v>2499</v>
      </c>
      <c r="C366" t="inlineStr">
        <is>
          <t>INR</t>
        </is>
      </c>
      <c r="D366" t="inlineStr">
        <is>
          <t>failed</t>
        </is>
      </c>
      <c r="E366" t="inlineStr">
        <is>
          <t>order_klEaAhmw3LrNFa</t>
        </is>
      </c>
      <c r="G366" t="n">
        <v>0</v>
      </c>
      <c r="H366" t="inlineStr">
        <is>
          <t>upi</t>
        </is>
      </c>
      <c r="I366" t="n">
        <v>0</v>
      </c>
      <c r="J366" t="n">
        <v>0</v>
      </c>
      <c r="L366" t="n">
        <v>0</v>
      </c>
      <c r="R366" t="inlineStr">
        <is>
          <t>customer792@example.com</t>
        </is>
      </c>
      <c r="S366">
        <f>+919813086072</f>
        <v/>
      </c>
      <c r="T366" t="inlineStr">
        <is>
          <t>[]</t>
        </is>
      </c>
      <c r="W366" t="inlineStr">
        <is>
          <t>BAD_REQUEST_ERROR</t>
        </is>
      </c>
      <c r="X366" t="inlineStr">
        <is>
          <t>Payment was not completed on time</t>
        </is>
      </c>
      <c r="Y366" s="1" t="n">
        <v>46165.80443287037</v>
      </c>
    </row>
    <row r="367">
      <c r="A367" t="inlineStr">
        <is>
          <t>pay_fj94B6r5gTeqk1</t>
        </is>
      </c>
      <c r="B367" t="n">
        <v>2499</v>
      </c>
      <c r="C367" t="inlineStr">
        <is>
          <t>INR</t>
        </is>
      </c>
      <c r="D367" t="inlineStr">
        <is>
          <t>captured</t>
        </is>
      </c>
      <c r="E367" t="inlineStr">
        <is>
          <t>order_0xwGz8039g6wqL</t>
        </is>
      </c>
      <c r="G367" t="n">
        <v>0</v>
      </c>
      <c r="H367" t="inlineStr">
        <is>
          <t>upi</t>
        </is>
      </c>
      <c r="I367" t="n">
        <v>0</v>
      </c>
      <c r="J367" t="n">
        <v>0</v>
      </c>
      <c r="L367" t="n">
        <v>1</v>
      </c>
      <c r="R367" t="inlineStr">
        <is>
          <t>customer638@example.com</t>
        </is>
      </c>
      <c r="S367">
        <f>+919861460633</f>
        <v/>
      </c>
      <c r="T367" t="inlineStr">
        <is>
          <t>[]</t>
        </is>
      </c>
      <c r="U367" t="n">
        <v>49.98</v>
      </c>
      <c r="V367" t="n">
        <v>9</v>
      </c>
      <c r="Y367" s="1" t="n">
        <v>46172.28184027778</v>
      </c>
    </row>
    <row r="368">
      <c r="A368" t="inlineStr">
        <is>
          <t>pay_rmEDESlXuy3TTX</t>
        </is>
      </c>
      <c r="B368" t="n">
        <v>2499</v>
      </c>
      <c r="C368" t="inlineStr">
        <is>
          <t>INR</t>
        </is>
      </c>
      <c r="D368" t="inlineStr">
        <is>
          <t>failed</t>
        </is>
      </c>
      <c r="E368" t="inlineStr">
        <is>
          <t>order_652t5fl1H7uej2</t>
        </is>
      </c>
      <c r="G368" t="n">
        <v>0</v>
      </c>
      <c r="H368" t="inlineStr">
        <is>
          <t>netbanking</t>
        </is>
      </c>
      <c r="I368" t="n">
        <v>0</v>
      </c>
      <c r="J368" t="n">
        <v>0</v>
      </c>
      <c r="L368" t="n">
        <v>0</v>
      </c>
      <c r="R368" t="inlineStr">
        <is>
          <t>customer434@example.com</t>
        </is>
      </c>
      <c r="S368">
        <f>+919862600684</f>
        <v/>
      </c>
      <c r="T368" t="inlineStr">
        <is>
          <t>[]</t>
        </is>
      </c>
      <c r="W368" t="inlineStr">
        <is>
          <t>BAD_REQUEST_ERROR</t>
        </is>
      </c>
      <c r="X368" t="inlineStr">
        <is>
          <t>Payment cancelled by user</t>
        </is>
      </c>
      <c r="Y368" s="1" t="n">
        <v>46160.59949074074</v>
      </c>
    </row>
    <row r="369">
      <c r="A369" t="inlineStr">
        <is>
          <t>pay_nVII9HSw3FRo0f</t>
        </is>
      </c>
      <c r="B369" t="n">
        <v>2499</v>
      </c>
      <c r="C369" t="inlineStr">
        <is>
          <t>INR</t>
        </is>
      </c>
      <c r="D369" t="inlineStr">
        <is>
          <t>captured</t>
        </is>
      </c>
      <c r="E369" t="inlineStr">
        <is>
          <t>order_652t5fl1H7uej2</t>
        </is>
      </c>
      <c r="G369" t="n">
        <v>0</v>
      </c>
      <c r="H369" t="inlineStr">
        <is>
          <t>netbanking</t>
        </is>
      </c>
      <c r="I369" t="n">
        <v>0</v>
      </c>
      <c r="J369" t="n">
        <v>0</v>
      </c>
      <c r="L369" t="n">
        <v>1</v>
      </c>
      <c r="R369" t="inlineStr">
        <is>
          <t>customer510@example.com</t>
        </is>
      </c>
      <c r="S369">
        <f>+919880817180</f>
        <v/>
      </c>
      <c r="T369" t="inlineStr">
        <is>
          <t>[]</t>
        </is>
      </c>
      <c r="U369" t="n">
        <v>49.98</v>
      </c>
      <c r="V369" t="n">
        <v>9</v>
      </c>
      <c r="Y369" s="1" t="n">
        <v>46160.60178240741</v>
      </c>
    </row>
    <row r="370">
      <c r="A370" t="inlineStr">
        <is>
          <t>pay_F02DxcHDGtOKpW</t>
        </is>
      </c>
      <c r="B370" t="n">
        <v>1799</v>
      </c>
      <c r="C370" t="inlineStr">
        <is>
          <t>INR</t>
        </is>
      </c>
      <c r="D370" t="inlineStr">
        <is>
          <t>captured</t>
        </is>
      </c>
      <c r="E370" t="inlineStr">
        <is>
          <t>order_HIYO8ZTFOYHYF8</t>
        </is>
      </c>
      <c r="G370" t="n">
        <v>0</v>
      </c>
      <c r="H370" t="inlineStr">
        <is>
          <t>upi</t>
        </is>
      </c>
      <c r="I370" t="n">
        <v>0</v>
      </c>
      <c r="J370" t="n">
        <v>0</v>
      </c>
      <c r="L370" t="n">
        <v>1</v>
      </c>
      <c r="R370" t="inlineStr">
        <is>
          <t>customer666@example.com</t>
        </is>
      </c>
      <c r="S370">
        <f>+919810276108</f>
        <v/>
      </c>
      <c r="T370" t="inlineStr">
        <is>
          <t>[]</t>
        </is>
      </c>
      <c r="U370" t="n">
        <v>35.98</v>
      </c>
      <c r="V370" t="n">
        <v>6.48</v>
      </c>
      <c r="Y370" s="1" t="n">
        <v>46172.8918287037</v>
      </c>
    </row>
    <row r="371">
      <c r="A371" t="inlineStr">
        <is>
          <t>pay_3S7lPwjiYkRHJZ</t>
        </is>
      </c>
      <c r="B371" t="n">
        <v>1499</v>
      </c>
      <c r="C371" t="inlineStr">
        <is>
          <t>INR</t>
        </is>
      </c>
      <c r="D371" t="inlineStr">
        <is>
          <t>captured</t>
        </is>
      </c>
      <c r="E371" t="inlineStr">
        <is>
          <t>order_pQ6wFNVwqOtENI</t>
        </is>
      </c>
      <c r="G371" t="n">
        <v>0</v>
      </c>
      <c r="H371" t="inlineStr">
        <is>
          <t>upi</t>
        </is>
      </c>
      <c r="I371" t="n">
        <v>0</v>
      </c>
      <c r="J371" t="n">
        <v>0</v>
      </c>
      <c r="L371" t="n">
        <v>1</v>
      </c>
      <c r="R371" t="inlineStr">
        <is>
          <t>customer509@example.com</t>
        </is>
      </c>
      <c r="S371">
        <f>+919828933083</f>
        <v/>
      </c>
      <c r="T371" t="inlineStr">
        <is>
          <t>[]</t>
        </is>
      </c>
      <c r="U371" t="n">
        <v>29.98</v>
      </c>
      <c r="V371" t="n">
        <v>5.4</v>
      </c>
      <c r="Y371" s="1" t="n">
        <v>46170.00174768519</v>
      </c>
    </row>
    <row r="372">
      <c r="A372" t="inlineStr">
        <is>
          <t>pay_thQhZb2YF3WPqf</t>
        </is>
      </c>
      <c r="B372" t="n">
        <v>1499</v>
      </c>
      <c r="C372" t="inlineStr">
        <is>
          <t>INR</t>
        </is>
      </c>
      <c r="D372" t="inlineStr">
        <is>
          <t>captured</t>
        </is>
      </c>
      <c r="E372" t="inlineStr">
        <is>
          <t>order_RA8xoqCsXnELa7</t>
        </is>
      </c>
      <c r="G372" t="n">
        <v>0</v>
      </c>
      <c r="H372" t="inlineStr">
        <is>
          <t>upi</t>
        </is>
      </c>
      <c r="I372" t="n">
        <v>0</v>
      </c>
      <c r="J372" t="n">
        <v>0</v>
      </c>
      <c r="L372" t="n">
        <v>1</v>
      </c>
      <c r="R372" t="inlineStr">
        <is>
          <t>customer120@example.com</t>
        </is>
      </c>
      <c r="S372">
        <f>+919857050987</f>
        <v/>
      </c>
      <c r="T372" t="inlineStr">
        <is>
          <t>[]</t>
        </is>
      </c>
      <c r="U372" t="n">
        <v>29.98</v>
      </c>
      <c r="V372" t="n">
        <v>5.4</v>
      </c>
      <c r="Y372" s="1" t="n">
        <v>46162.1049537037</v>
      </c>
    </row>
    <row r="373">
      <c r="A373" t="inlineStr">
        <is>
          <t>pay_YJMnWVp5z1oxnc</t>
        </is>
      </c>
      <c r="B373" t="n">
        <v>2499</v>
      </c>
      <c r="C373" t="inlineStr">
        <is>
          <t>INR</t>
        </is>
      </c>
      <c r="D373" t="inlineStr">
        <is>
          <t>captured</t>
        </is>
      </c>
      <c r="E373" t="inlineStr">
        <is>
          <t>order_BR4zwRezLuyeGu</t>
        </is>
      </c>
      <c r="G373" t="n">
        <v>0</v>
      </c>
      <c r="H373" t="inlineStr">
        <is>
          <t>upi</t>
        </is>
      </c>
      <c r="I373" t="n">
        <v>0</v>
      </c>
      <c r="J373" t="n">
        <v>0</v>
      </c>
      <c r="L373" t="n">
        <v>1</v>
      </c>
      <c r="R373" t="inlineStr">
        <is>
          <t>customer146@example.com</t>
        </is>
      </c>
      <c r="S373">
        <f>+919887041949</f>
        <v/>
      </c>
      <c r="T373" t="inlineStr">
        <is>
          <t>[]</t>
        </is>
      </c>
      <c r="U373" t="n">
        <v>49.98</v>
      </c>
      <c r="V373" t="n">
        <v>9</v>
      </c>
      <c r="Y373" s="1" t="n">
        <v>46147.65372685185</v>
      </c>
    </row>
    <row r="374">
      <c r="A374" t="inlineStr">
        <is>
          <t>pay_DwfMu4pXcZ3OVQ</t>
        </is>
      </c>
      <c r="B374" t="n">
        <v>1799</v>
      </c>
      <c r="C374" t="inlineStr">
        <is>
          <t>INR</t>
        </is>
      </c>
      <c r="D374" t="inlineStr">
        <is>
          <t>captured</t>
        </is>
      </c>
      <c r="E374" t="inlineStr">
        <is>
          <t>order_xYm8232LwBY5LZ</t>
        </is>
      </c>
      <c r="G374" t="n">
        <v>0</v>
      </c>
      <c r="H374" t="inlineStr">
        <is>
          <t>upi</t>
        </is>
      </c>
      <c r="I374" t="n">
        <v>0</v>
      </c>
      <c r="J374" t="n">
        <v>0</v>
      </c>
      <c r="L374" t="n">
        <v>1</v>
      </c>
      <c r="R374" t="inlineStr">
        <is>
          <t>customer516@example.com</t>
        </is>
      </c>
      <c r="S374">
        <f>+919810535756</f>
        <v/>
      </c>
      <c r="T374" t="inlineStr">
        <is>
          <t>[]</t>
        </is>
      </c>
      <c r="U374" t="n">
        <v>35.98</v>
      </c>
      <c r="V374" t="n">
        <v>6.48</v>
      </c>
      <c r="Y374" s="1" t="n">
        <v>46150.43033564815</v>
      </c>
    </row>
    <row r="375">
      <c r="A375" t="inlineStr">
        <is>
          <t>pay_XoNPzcHgo5k7jb</t>
        </is>
      </c>
      <c r="B375" t="n">
        <v>1499</v>
      </c>
      <c r="C375" t="inlineStr">
        <is>
          <t>INR</t>
        </is>
      </c>
      <c r="D375" t="inlineStr">
        <is>
          <t>captured</t>
        </is>
      </c>
      <c r="E375" t="inlineStr">
        <is>
          <t>order_bdQVujqoIq4aoM</t>
        </is>
      </c>
      <c r="G375" t="n">
        <v>0</v>
      </c>
      <c r="H375" t="inlineStr">
        <is>
          <t>upi</t>
        </is>
      </c>
      <c r="I375" t="n">
        <v>0</v>
      </c>
      <c r="J375" t="n">
        <v>0</v>
      </c>
      <c r="L375" t="n">
        <v>1</v>
      </c>
      <c r="R375" t="inlineStr">
        <is>
          <t>customer32@example.com</t>
        </is>
      </c>
      <c r="S375">
        <f>+919872060109</f>
        <v/>
      </c>
      <c r="T375" t="inlineStr">
        <is>
          <t>[]</t>
        </is>
      </c>
      <c r="U375" t="n">
        <v>29.98</v>
      </c>
      <c r="V375" t="n">
        <v>5.4</v>
      </c>
      <c r="Y375" s="1" t="n">
        <v>46167.51188657407</v>
      </c>
    </row>
    <row r="376">
      <c r="A376" t="inlineStr">
        <is>
          <t>pay_j3K2OvSqFMWpUH</t>
        </is>
      </c>
      <c r="B376" t="n">
        <v>999</v>
      </c>
      <c r="C376" t="inlineStr">
        <is>
          <t>INR</t>
        </is>
      </c>
      <c r="D376" t="inlineStr">
        <is>
          <t>captured</t>
        </is>
      </c>
      <c r="E376" t="inlineStr">
        <is>
          <t>order_vvNsDOriOOaA0K</t>
        </is>
      </c>
      <c r="G376" t="n">
        <v>0</v>
      </c>
      <c r="H376" t="inlineStr">
        <is>
          <t>upi</t>
        </is>
      </c>
      <c r="I376" t="n">
        <v>0</v>
      </c>
      <c r="J376" t="n">
        <v>0</v>
      </c>
      <c r="L376" t="n">
        <v>1</v>
      </c>
      <c r="R376" t="inlineStr">
        <is>
          <t>customer643@example.com</t>
        </is>
      </c>
      <c r="S376">
        <f>+919822810461</f>
        <v/>
      </c>
      <c r="T376" t="inlineStr">
        <is>
          <t>[]</t>
        </is>
      </c>
      <c r="U376" t="n">
        <v>19.98</v>
      </c>
      <c r="V376" t="n">
        <v>3.6</v>
      </c>
      <c r="Y376" s="1" t="n">
        <v>46151.20082175926</v>
      </c>
    </row>
    <row r="377">
      <c r="A377" t="inlineStr">
        <is>
          <t>pay_t7ll6fZ8RnPwlm</t>
        </is>
      </c>
      <c r="B377" t="n">
        <v>1499</v>
      </c>
      <c r="C377" t="inlineStr">
        <is>
          <t>INR</t>
        </is>
      </c>
      <c r="D377" t="inlineStr">
        <is>
          <t>failed</t>
        </is>
      </c>
      <c r="E377" t="inlineStr">
        <is>
          <t>order_fNXxAMI80QvdPn</t>
        </is>
      </c>
      <c r="G377" t="n">
        <v>0</v>
      </c>
      <c r="H377" t="inlineStr">
        <is>
          <t>card</t>
        </is>
      </c>
      <c r="I377" t="n">
        <v>0</v>
      </c>
      <c r="J377" t="n">
        <v>0</v>
      </c>
      <c r="L377" t="n">
        <v>0</v>
      </c>
      <c r="R377" t="inlineStr">
        <is>
          <t>customer28@example.com</t>
        </is>
      </c>
      <c r="S377">
        <f>+919880647414</f>
        <v/>
      </c>
      <c r="T377" t="inlineStr">
        <is>
          <t>[]</t>
        </is>
      </c>
      <c r="W377" t="inlineStr">
        <is>
          <t>BAD_REQUEST_ERROR</t>
        </is>
      </c>
      <c r="X377" t="inlineStr">
        <is>
          <t>Payment failed due to incorrect OTP</t>
        </is>
      </c>
      <c r="Y377" s="1" t="n">
        <v>46169.9209375</v>
      </c>
    </row>
    <row r="378">
      <c r="A378" t="inlineStr">
        <is>
          <t>pay_Puunpo2CHt7LkQ</t>
        </is>
      </c>
      <c r="B378" t="n">
        <v>999</v>
      </c>
      <c r="C378" t="inlineStr">
        <is>
          <t>INR</t>
        </is>
      </c>
      <c r="D378" t="inlineStr">
        <is>
          <t>captured</t>
        </is>
      </c>
      <c r="E378" t="inlineStr">
        <is>
          <t>order_XBLBtWqhPRzAgU</t>
        </is>
      </c>
      <c r="G378" t="n">
        <v>0</v>
      </c>
      <c r="H378" t="inlineStr">
        <is>
          <t>upi</t>
        </is>
      </c>
      <c r="I378" t="n">
        <v>0</v>
      </c>
      <c r="J378" t="n">
        <v>0</v>
      </c>
      <c r="L378" t="n">
        <v>1</v>
      </c>
      <c r="R378" t="inlineStr">
        <is>
          <t>customer2@example.com</t>
        </is>
      </c>
      <c r="S378">
        <f>+919814181237</f>
        <v/>
      </c>
      <c r="T378" t="inlineStr">
        <is>
          <t>[]</t>
        </is>
      </c>
      <c r="U378" t="n">
        <v>19.98</v>
      </c>
      <c r="V378" t="n">
        <v>3.6</v>
      </c>
      <c r="Y378" s="1" t="n">
        <v>46144.67229166667</v>
      </c>
    </row>
    <row r="379">
      <c r="A379" t="inlineStr">
        <is>
          <t>pay_STA2crhZToOFJz</t>
        </is>
      </c>
      <c r="B379" t="n">
        <v>999</v>
      </c>
      <c r="C379" t="inlineStr">
        <is>
          <t>INR</t>
        </is>
      </c>
      <c r="D379" t="inlineStr">
        <is>
          <t>captured</t>
        </is>
      </c>
      <c r="E379" t="inlineStr">
        <is>
          <t>order_A4VWJmOJjdG4uN</t>
        </is>
      </c>
      <c r="G379" t="n">
        <v>0</v>
      </c>
      <c r="H379" t="inlineStr">
        <is>
          <t>upi</t>
        </is>
      </c>
      <c r="I379" t="n">
        <v>0</v>
      </c>
      <c r="J379" t="n">
        <v>0</v>
      </c>
      <c r="L379" t="n">
        <v>1</v>
      </c>
      <c r="R379" t="inlineStr">
        <is>
          <t>customer580@example.com</t>
        </is>
      </c>
      <c r="S379">
        <f>+919881443432</f>
        <v/>
      </c>
      <c r="T379" t="inlineStr">
        <is>
          <t>[]</t>
        </is>
      </c>
      <c r="U379" t="n">
        <v>19.98</v>
      </c>
      <c r="V379" t="n">
        <v>3.6</v>
      </c>
      <c r="Y379" s="1" t="n">
        <v>46158.63243055555</v>
      </c>
    </row>
    <row r="380">
      <c r="A380" t="inlineStr">
        <is>
          <t>pay_5KBXdzFziC4wPB</t>
        </is>
      </c>
      <c r="B380" t="n">
        <v>1799</v>
      </c>
      <c r="C380" t="inlineStr">
        <is>
          <t>INR</t>
        </is>
      </c>
      <c r="D380" t="inlineStr">
        <is>
          <t>failed</t>
        </is>
      </c>
      <c r="E380" t="inlineStr">
        <is>
          <t>order_vz1SHMCGbJo8Zc</t>
        </is>
      </c>
      <c r="G380" t="n">
        <v>0</v>
      </c>
      <c r="H380" t="inlineStr">
        <is>
          <t>card</t>
        </is>
      </c>
      <c r="I380" t="n">
        <v>0</v>
      </c>
      <c r="J380" t="n">
        <v>0</v>
      </c>
      <c r="L380" t="n">
        <v>0</v>
      </c>
      <c r="R380" t="inlineStr">
        <is>
          <t>customer834@example.com</t>
        </is>
      </c>
      <c r="S380">
        <f>+919885207370</f>
        <v/>
      </c>
      <c r="T380" t="inlineStr">
        <is>
          <t>[]</t>
        </is>
      </c>
      <c r="W380" t="inlineStr">
        <is>
          <t>BAD_REQUEST_ERROR</t>
        </is>
      </c>
      <c r="X380" t="inlineStr">
        <is>
          <t>Payment cancelled by user</t>
        </is>
      </c>
      <c r="Y380" s="1" t="n">
        <v>46170.19502314815</v>
      </c>
    </row>
    <row r="381">
      <c r="A381" t="inlineStr">
        <is>
          <t>pay_Rv0BGcHGHl6vRx</t>
        </is>
      </c>
      <c r="B381" t="n">
        <v>1799</v>
      </c>
      <c r="C381" t="inlineStr">
        <is>
          <t>INR</t>
        </is>
      </c>
      <c r="D381" t="inlineStr">
        <is>
          <t>captured</t>
        </is>
      </c>
      <c r="E381" t="inlineStr">
        <is>
          <t>order_vz1SHMCGbJo8Zc</t>
        </is>
      </c>
      <c r="G381" t="n">
        <v>0</v>
      </c>
      <c r="H381" t="inlineStr">
        <is>
          <t>card</t>
        </is>
      </c>
      <c r="I381" t="n">
        <v>0</v>
      </c>
      <c r="J381" t="n">
        <v>0</v>
      </c>
      <c r="L381" t="n">
        <v>1</v>
      </c>
      <c r="R381" t="inlineStr">
        <is>
          <t>customer526@example.com</t>
        </is>
      </c>
      <c r="S381">
        <f>+919891253302</f>
        <v/>
      </c>
      <c r="T381" t="inlineStr">
        <is>
          <t>[]</t>
        </is>
      </c>
      <c r="U381" t="n">
        <v>35.98</v>
      </c>
      <c r="V381" t="n">
        <v>6.48</v>
      </c>
      <c r="Y381" s="1" t="n">
        <v>46170.19989583334</v>
      </c>
    </row>
    <row r="382">
      <c r="A382" t="inlineStr">
        <is>
          <t>pay_bd3wY80chlMy0K</t>
        </is>
      </c>
      <c r="B382" t="n">
        <v>1499</v>
      </c>
      <c r="C382" t="inlineStr">
        <is>
          <t>INR</t>
        </is>
      </c>
      <c r="D382" t="inlineStr">
        <is>
          <t>captured</t>
        </is>
      </c>
      <c r="E382" t="inlineStr">
        <is>
          <t>order_saj4deUmy4mryT</t>
        </is>
      </c>
      <c r="G382" t="n">
        <v>0</v>
      </c>
      <c r="H382" t="inlineStr">
        <is>
          <t>upi</t>
        </is>
      </c>
      <c r="I382" t="n">
        <v>0</v>
      </c>
      <c r="J382" t="n">
        <v>0</v>
      </c>
      <c r="L382" t="n">
        <v>1</v>
      </c>
      <c r="R382" t="inlineStr">
        <is>
          <t>customer743@example.com</t>
        </is>
      </c>
      <c r="S382">
        <f>+919829700079</f>
        <v/>
      </c>
      <c r="T382" t="inlineStr">
        <is>
          <t>[]</t>
        </is>
      </c>
      <c r="U382" t="n">
        <v>29.98</v>
      </c>
      <c r="V382" t="n">
        <v>5.4</v>
      </c>
      <c r="Y382" s="1" t="n">
        <v>46161.56296296296</v>
      </c>
    </row>
    <row r="383">
      <c r="A383" t="inlineStr">
        <is>
          <t>pay_zEE03KVsktiV4N</t>
        </is>
      </c>
      <c r="B383" t="n">
        <v>3999</v>
      </c>
      <c r="C383" t="inlineStr">
        <is>
          <t>INR</t>
        </is>
      </c>
      <c r="D383" t="inlineStr">
        <is>
          <t>captured</t>
        </is>
      </c>
      <c r="E383" t="inlineStr">
        <is>
          <t>order_9N2qAgD9RCtnAr</t>
        </is>
      </c>
      <c r="G383" t="n">
        <v>0</v>
      </c>
      <c r="H383" t="inlineStr">
        <is>
          <t>upi</t>
        </is>
      </c>
      <c r="I383" t="n">
        <v>0</v>
      </c>
      <c r="J383" t="n">
        <v>0</v>
      </c>
      <c r="L383" t="n">
        <v>1</v>
      </c>
      <c r="R383" t="inlineStr">
        <is>
          <t>customer224@example.com</t>
        </is>
      </c>
      <c r="S383">
        <f>+919827557438</f>
        <v/>
      </c>
      <c r="T383" t="inlineStr">
        <is>
          <t>[]</t>
        </is>
      </c>
      <c r="U383" t="n">
        <v>79.98</v>
      </c>
      <c r="V383" t="n">
        <v>14.4</v>
      </c>
      <c r="Y383" s="1" t="n">
        <v>46173.48175925926</v>
      </c>
    </row>
    <row r="384">
      <c r="A384" t="inlineStr">
        <is>
          <t>pay_5hgS7BZ6i1Ke2V</t>
        </is>
      </c>
      <c r="B384" t="n">
        <v>499</v>
      </c>
      <c r="C384" t="inlineStr">
        <is>
          <t>INR</t>
        </is>
      </c>
      <c r="D384" t="inlineStr">
        <is>
          <t>failed</t>
        </is>
      </c>
      <c r="E384" t="inlineStr">
        <is>
          <t>order_QySgKUqWSptp5w</t>
        </is>
      </c>
      <c r="G384" t="n">
        <v>0</v>
      </c>
      <c r="H384" t="inlineStr">
        <is>
          <t>upi</t>
        </is>
      </c>
      <c r="I384" t="n">
        <v>0</v>
      </c>
      <c r="J384" t="n">
        <v>0</v>
      </c>
      <c r="L384" t="n">
        <v>0</v>
      </c>
      <c r="R384" t="inlineStr">
        <is>
          <t>customer322@example.com</t>
        </is>
      </c>
      <c r="S384">
        <f>+919884634367</f>
        <v/>
      </c>
      <c r="T384" t="inlineStr">
        <is>
          <t>[]</t>
        </is>
      </c>
      <c r="W384" t="inlineStr">
        <is>
          <t>BAD_REQUEST_ERROR</t>
        </is>
      </c>
      <c r="X384" t="inlineStr">
        <is>
          <t>Payment was not completed on time</t>
        </is>
      </c>
      <c r="Y384" s="1" t="n">
        <v>46166.08331018518</v>
      </c>
    </row>
    <row r="385">
      <c r="A385" t="inlineStr">
        <is>
          <t>pay_w77kXKyG4DIEbV</t>
        </is>
      </c>
      <c r="B385" t="n">
        <v>499</v>
      </c>
      <c r="C385" t="inlineStr">
        <is>
          <t>INR</t>
        </is>
      </c>
      <c r="D385" t="inlineStr">
        <is>
          <t>captured</t>
        </is>
      </c>
      <c r="E385" t="inlineStr">
        <is>
          <t>order_Cosv1ffiAA5Tqi</t>
        </is>
      </c>
      <c r="G385" t="n">
        <v>0</v>
      </c>
      <c r="H385" t="inlineStr">
        <is>
          <t>upi</t>
        </is>
      </c>
      <c r="I385" t="n">
        <v>0</v>
      </c>
      <c r="J385" t="n">
        <v>0</v>
      </c>
      <c r="L385" t="n">
        <v>1</v>
      </c>
      <c r="R385" t="inlineStr">
        <is>
          <t>customer108@example.com</t>
        </is>
      </c>
      <c r="S385">
        <f>+919810960607</f>
        <v/>
      </c>
      <c r="T385" t="inlineStr">
        <is>
          <t>[]</t>
        </is>
      </c>
      <c r="U385" t="n">
        <v>9.98</v>
      </c>
      <c r="V385" t="n">
        <v>1.8</v>
      </c>
      <c r="Y385" s="1" t="n">
        <v>46161.59422453704</v>
      </c>
    </row>
    <row r="386">
      <c r="A386" t="inlineStr">
        <is>
          <t>pay_NAHXkFqzkiL89p</t>
        </is>
      </c>
      <c r="B386" t="n">
        <v>1499</v>
      </c>
      <c r="C386" t="inlineStr">
        <is>
          <t>INR</t>
        </is>
      </c>
      <c r="D386" t="inlineStr">
        <is>
          <t>captured</t>
        </is>
      </c>
      <c r="E386" t="inlineStr">
        <is>
          <t>order_fbSkkEh3H5FwEF</t>
        </is>
      </c>
      <c r="G386" t="n">
        <v>0</v>
      </c>
      <c r="H386" t="inlineStr">
        <is>
          <t>card</t>
        </is>
      </c>
      <c r="I386" t="n">
        <v>0</v>
      </c>
      <c r="J386" t="n">
        <v>0</v>
      </c>
      <c r="L386" t="n">
        <v>1</v>
      </c>
      <c r="R386" t="inlineStr">
        <is>
          <t>customer204@example.com</t>
        </is>
      </c>
      <c r="S386">
        <f>+919817684216</f>
        <v/>
      </c>
      <c r="T386" t="inlineStr">
        <is>
          <t>[]</t>
        </is>
      </c>
      <c r="U386" t="n">
        <v>29.98</v>
      </c>
      <c r="V386" t="n">
        <v>5.4</v>
      </c>
      <c r="Y386" s="1" t="n">
        <v>46170.55778935185</v>
      </c>
    </row>
    <row r="387">
      <c r="A387" t="inlineStr">
        <is>
          <t>pay_xWLxZQ3WzLxPfR</t>
        </is>
      </c>
      <c r="B387" t="n">
        <v>499</v>
      </c>
      <c r="C387" t="inlineStr">
        <is>
          <t>INR</t>
        </is>
      </c>
      <c r="D387" t="inlineStr">
        <is>
          <t>failed</t>
        </is>
      </c>
      <c r="E387" t="inlineStr">
        <is>
          <t>order_48MimtcvruZI9t</t>
        </is>
      </c>
      <c r="G387" t="n">
        <v>0</v>
      </c>
      <c r="H387" t="inlineStr">
        <is>
          <t>netbanking</t>
        </is>
      </c>
      <c r="I387" t="n">
        <v>0</v>
      </c>
      <c r="J387" t="n">
        <v>0</v>
      </c>
      <c r="L387" t="n">
        <v>0</v>
      </c>
      <c r="R387" t="inlineStr">
        <is>
          <t>customer602@example.com</t>
        </is>
      </c>
      <c r="S387">
        <f>+919835384127</f>
        <v/>
      </c>
      <c r="T387" t="inlineStr">
        <is>
          <t>[]</t>
        </is>
      </c>
      <c r="W387" t="inlineStr">
        <is>
          <t>BAD_REQUEST_ERROR</t>
        </is>
      </c>
      <c r="X387" t="inlineStr">
        <is>
          <t>Bank server unavailable</t>
        </is>
      </c>
      <c r="Y387" s="1" t="n">
        <v>46146.32290509259</v>
      </c>
    </row>
    <row r="388">
      <c r="A388" t="inlineStr">
        <is>
          <t>pay_QQM1uGawYRZ6UV</t>
        </is>
      </c>
      <c r="B388" t="n">
        <v>499</v>
      </c>
      <c r="C388" t="inlineStr">
        <is>
          <t>INR</t>
        </is>
      </c>
      <c r="D388" t="inlineStr">
        <is>
          <t>captured</t>
        </is>
      </c>
      <c r="E388" t="inlineStr">
        <is>
          <t>order_48MimtcvruZI9t</t>
        </is>
      </c>
      <c r="G388" t="n">
        <v>0</v>
      </c>
      <c r="H388" t="inlineStr">
        <is>
          <t>netbanking</t>
        </is>
      </c>
      <c r="I388" t="n">
        <v>0</v>
      </c>
      <c r="J388" t="n">
        <v>0</v>
      </c>
      <c r="L388" t="n">
        <v>1</v>
      </c>
      <c r="R388" t="inlineStr">
        <is>
          <t>customer28@example.com</t>
        </is>
      </c>
      <c r="S388">
        <f>+919838228409</f>
        <v/>
      </c>
      <c r="T388" t="inlineStr">
        <is>
          <t>[]</t>
        </is>
      </c>
      <c r="U388" t="n">
        <v>9.98</v>
      </c>
      <c r="V388" t="n">
        <v>1.8</v>
      </c>
      <c r="Y388" s="1" t="n">
        <v>46146.32513888889</v>
      </c>
    </row>
    <row r="389">
      <c r="A389" t="inlineStr">
        <is>
          <t>pay_EHaKKXponOFtwq</t>
        </is>
      </c>
      <c r="B389" t="n">
        <v>999</v>
      </c>
      <c r="C389" t="inlineStr">
        <is>
          <t>INR</t>
        </is>
      </c>
      <c r="D389" t="inlineStr">
        <is>
          <t>captured</t>
        </is>
      </c>
      <c r="E389" t="inlineStr">
        <is>
          <t>order_YGzXtKMVPHFGgt</t>
        </is>
      </c>
      <c r="G389" t="n">
        <v>0</v>
      </c>
      <c r="H389" t="inlineStr">
        <is>
          <t>card</t>
        </is>
      </c>
      <c r="I389" t="n">
        <v>0</v>
      </c>
      <c r="J389" t="n">
        <v>0</v>
      </c>
      <c r="L389" t="n">
        <v>1</v>
      </c>
      <c r="R389" t="inlineStr">
        <is>
          <t>customer644@example.com</t>
        </is>
      </c>
      <c r="S389">
        <f>+919898744967</f>
        <v/>
      </c>
      <c r="T389" t="inlineStr">
        <is>
          <t>[]</t>
        </is>
      </c>
      <c r="U389" t="n">
        <v>19.98</v>
      </c>
      <c r="V389" t="n">
        <v>3.6</v>
      </c>
      <c r="Y389" s="1" t="n">
        <v>46148.12313657408</v>
      </c>
    </row>
    <row r="390">
      <c r="A390" t="inlineStr">
        <is>
          <t>pay_nDVrTos0m0IbDH</t>
        </is>
      </c>
      <c r="B390" t="n">
        <v>1799</v>
      </c>
      <c r="C390" t="inlineStr">
        <is>
          <t>INR</t>
        </is>
      </c>
      <c r="D390" t="inlineStr">
        <is>
          <t>captured</t>
        </is>
      </c>
      <c r="E390" t="inlineStr">
        <is>
          <t>order_T1ZE67mnMHAEmz</t>
        </is>
      </c>
      <c r="G390" t="n">
        <v>0</v>
      </c>
      <c r="H390" t="inlineStr">
        <is>
          <t>upi</t>
        </is>
      </c>
      <c r="I390" t="n">
        <v>0</v>
      </c>
      <c r="J390" t="n">
        <v>0</v>
      </c>
      <c r="L390" t="n">
        <v>1</v>
      </c>
      <c r="R390" t="inlineStr">
        <is>
          <t>customer128@example.com</t>
        </is>
      </c>
      <c r="S390">
        <f>+919886573363</f>
        <v/>
      </c>
      <c r="T390" t="inlineStr">
        <is>
          <t>[]</t>
        </is>
      </c>
      <c r="U390" t="n">
        <v>35.98</v>
      </c>
      <c r="V390" t="n">
        <v>6.48</v>
      </c>
      <c r="Y390" s="1" t="n">
        <v>46144.55038194444</v>
      </c>
    </row>
    <row r="391">
      <c r="A391" t="inlineStr">
        <is>
          <t>pay_Hn4WSAoN0TSdCs</t>
        </is>
      </c>
      <c r="B391" t="n">
        <v>1499</v>
      </c>
      <c r="C391" t="inlineStr">
        <is>
          <t>INR</t>
        </is>
      </c>
      <c r="D391" t="inlineStr">
        <is>
          <t>failed</t>
        </is>
      </c>
      <c r="E391" t="inlineStr">
        <is>
          <t>order_LozwZEL9PHBuTu</t>
        </is>
      </c>
      <c r="G391" t="n">
        <v>0</v>
      </c>
      <c r="H391" t="inlineStr">
        <is>
          <t>netbanking</t>
        </is>
      </c>
      <c r="I391" t="n">
        <v>0</v>
      </c>
      <c r="J391" t="n">
        <v>0</v>
      </c>
      <c r="L391" t="n">
        <v>0</v>
      </c>
      <c r="R391" t="inlineStr">
        <is>
          <t>customer547@example.com</t>
        </is>
      </c>
      <c r="S391">
        <f>+919811725728</f>
        <v/>
      </c>
      <c r="T391" t="inlineStr">
        <is>
          <t>[]</t>
        </is>
      </c>
      <c r="W391" t="inlineStr">
        <is>
          <t>BAD_REQUEST_ERROR</t>
        </is>
      </c>
      <c r="X391" t="inlineStr">
        <is>
          <t>Bank server unavailable</t>
        </is>
      </c>
      <c r="Y391" s="1" t="n">
        <v>46161.10938657408</v>
      </c>
    </row>
    <row r="392">
      <c r="A392" t="inlineStr">
        <is>
          <t>pay_Oig0YbmaH9jJBT</t>
        </is>
      </c>
      <c r="B392" t="n">
        <v>999</v>
      </c>
      <c r="C392" t="inlineStr">
        <is>
          <t>INR</t>
        </is>
      </c>
      <c r="D392" t="inlineStr">
        <is>
          <t>captured</t>
        </is>
      </c>
      <c r="E392" t="inlineStr">
        <is>
          <t>order_ArlnE2n7P32U4m</t>
        </is>
      </c>
      <c r="G392" t="n">
        <v>0</v>
      </c>
      <c r="H392" t="inlineStr">
        <is>
          <t>upi</t>
        </is>
      </c>
      <c r="I392" t="n">
        <v>0</v>
      </c>
      <c r="J392" t="n">
        <v>0</v>
      </c>
      <c r="L392" t="n">
        <v>1</v>
      </c>
      <c r="R392" t="inlineStr">
        <is>
          <t>customer604@example.com</t>
        </is>
      </c>
      <c r="S392">
        <f>+919839576171</f>
        <v/>
      </c>
      <c r="T392" t="inlineStr">
        <is>
          <t>[]</t>
        </is>
      </c>
      <c r="U392" t="n">
        <v>19.98</v>
      </c>
      <c r="V392" t="n">
        <v>3.6</v>
      </c>
      <c r="Y392" s="1" t="n">
        <v>46172.33659722222</v>
      </c>
    </row>
    <row r="393">
      <c r="A393" t="inlineStr">
        <is>
          <t>pay_GCzJyszWjDo5av</t>
        </is>
      </c>
      <c r="B393" t="n">
        <v>999</v>
      </c>
      <c r="C393" t="inlineStr">
        <is>
          <t>INR</t>
        </is>
      </c>
      <c r="D393" t="inlineStr">
        <is>
          <t>captured</t>
        </is>
      </c>
      <c r="E393" t="inlineStr">
        <is>
          <t>order_ZGv29zitg2StO0</t>
        </is>
      </c>
      <c r="G393" t="n">
        <v>0</v>
      </c>
      <c r="H393" t="inlineStr">
        <is>
          <t>upi</t>
        </is>
      </c>
      <c r="I393" t="n">
        <v>0</v>
      </c>
      <c r="J393" t="n">
        <v>0</v>
      </c>
      <c r="L393" t="n">
        <v>1</v>
      </c>
      <c r="R393" t="inlineStr">
        <is>
          <t>customer498@example.com</t>
        </is>
      </c>
      <c r="S393">
        <f>+919861249103</f>
        <v/>
      </c>
      <c r="T393" t="inlineStr">
        <is>
          <t>[]</t>
        </is>
      </c>
      <c r="U393" t="n">
        <v>19.98</v>
      </c>
      <c r="V393" t="n">
        <v>3.6</v>
      </c>
      <c r="Y393" s="1" t="n">
        <v>46150.58180555556</v>
      </c>
    </row>
    <row r="394">
      <c r="A394" t="inlineStr">
        <is>
          <t>pay_Z7TLLJLZIeT3nA</t>
        </is>
      </c>
      <c r="B394" t="n">
        <v>3999</v>
      </c>
      <c r="C394" t="inlineStr">
        <is>
          <t>INR</t>
        </is>
      </c>
      <c r="D394" t="inlineStr">
        <is>
          <t>failed</t>
        </is>
      </c>
      <c r="E394" t="inlineStr">
        <is>
          <t>order_CGVFpoOYf4y8W9</t>
        </is>
      </c>
      <c r="G394" t="n">
        <v>0</v>
      </c>
      <c r="H394" t="inlineStr">
        <is>
          <t>card</t>
        </is>
      </c>
      <c r="I394" t="n">
        <v>0</v>
      </c>
      <c r="J394" t="n">
        <v>0</v>
      </c>
      <c r="L394" t="n">
        <v>0</v>
      </c>
      <c r="R394" t="inlineStr">
        <is>
          <t>customer199@example.com</t>
        </is>
      </c>
      <c r="S394">
        <f>+919850088464</f>
        <v/>
      </c>
      <c r="T394" t="inlineStr">
        <is>
          <t>[]</t>
        </is>
      </c>
      <c r="W394" t="inlineStr">
        <is>
          <t>BAD_REQUEST_ERROR</t>
        </is>
      </c>
      <c r="X394" t="inlineStr">
        <is>
          <t>Card declined by bank</t>
        </is>
      </c>
      <c r="Y394" s="1" t="n">
        <v>46154.45016203704</v>
      </c>
    </row>
    <row r="395">
      <c r="A395" t="inlineStr">
        <is>
          <t>pay_2hl6p7LOVP491W</t>
        </is>
      </c>
      <c r="B395" t="n">
        <v>999</v>
      </c>
      <c r="C395" t="inlineStr">
        <is>
          <t>INR</t>
        </is>
      </c>
      <c r="D395" t="inlineStr">
        <is>
          <t>captured</t>
        </is>
      </c>
      <c r="E395" t="inlineStr">
        <is>
          <t>order_8miIB7c4StjRbs</t>
        </is>
      </c>
      <c r="G395" t="n">
        <v>0</v>
      </c>
      <c r="H395" t="inlineStr">
        <is>
          <t>upi</t>
        </is>
      </c>
      <c r="I395" t="n">
        <v>0</v>
      </c>
      <c r="J395" t="n">
        <v>0</v>
      </c>
      <c r="L395" t="n">
        <v>1</v>
      </c>
      <c r="R395" t="inlineStr">
        <is>
          <t>customer71@example.com</t>
        </is>
      </c>
      <c r="S395">
        <f>+919844580879</f>
        <v/>
      </c>
      <c r="T395" t="inlineStr">
        <is>
          <t>[]</t>
        </is>
      </c>
      <c r="U395" t="n">
        <v>19.98</v>
      </c>
      <c r="V395" t="n">
        <v>3.6</v>
      </c>
      <c r="Y395" s="1" t="n">
        <v>46159.25921296296</v>
      </c>
    </row>
    <row r="396">
      <c r="A396" t="inlineStr">
        <is>
          <t>pay_GXTSUC8nyzYh3P</t>
        </is>
      </c>
      <c r="B396" t="n">
        <v>3999</v>
      </c>
      <c r="C396" t="inlineStr">
        <is>
          <t>INR</t>
        </is>
      </c>
      <c r="D396" t="inlineStr">
        <is>
          <t>captured</t>
        </is>
      </c>
      <c r="E396" t="inlineStr">
        <is>
          <t>order_dpXrTPQNFIaVij</t>
        </is>
      </c>
      <c r="G396" t="n">
        <v>0</v>
      </c>
      <c r="H396" t="inlineStr">
        <is>
          <t>upi</t>
        </is>
      </c>
      <c r="I396" t="n">
        <v>0</v>
      </c>
      <c r="J396" t="n">
        <v>0</v>
      </c>
      <c r="L396" t="n">
        <v>1</v>
      </c>
      <c r="R396" t="inlineStr">
        <is>
          <t>customer602@example.com</t>
        </is>
      </c>
      <c r="S396">
        <f>+919859186070</f>
        <v/>
      </c>
      <c r="T396" t="inlineStr">
        <is>
          <t>[]</t>
        </is>
      </c>
      <c r="U396" t="n">
        <v>79.98</v>
      </c>
      <c r="V396" t="n">
        <v>14.4</v>
      </c>
      <c r="Y396" s="1" t="n">
        <v>46169.95655092593</v>
      </c>
    </row>
    <row r="397">
      <c r="A397" t="inlineStr">
        <is>
          <t>pay_VamXRhqeXNvJFq</t>
        </is>
      </c>
      <c r="B397" t="n">
        <v>999</v>
      </c>
      <c r="C397" t="inlineStr">
        <is>
          <t>INR</t>
        </is>
      </c>
      <c r="D397" t="inlineStr">
        <is>
          <t>captured</t>
        </is>
      </c>
      <c r="E397" t="inlineStr">
        <is>
          <t>order_QwAj8rixtlRAa6</t>
        </is>
      </c>
      <c r="G397" t="n">
        <v>0</v>
      </c>
      <c r="H397" t="inlineStr">
        <is>
          <t>upi</t>
        </is>
      </c>
      <c r="I397" t="n">
        <v>0</v>
      </c>
      <c r="J397" t="n">
        <v>0</v>
      </c>
      <c r="L397" t="n">
        <v>1</v>
      </c>
      <c r="R397" t="inlineStr">
        <is>
          <t>customer549@example.com</t>
        </is>
      </c>
      <c r="S397">
        <f>+919830227598</f>
        <v/>
      </c>
      <c r="T397" t="inlineStr">
        <is>
          <t>[]</t>
        </is>
      </c>
      <c r="U397" t="n">
        <v>19.98</v>
      </c>
      <c r="V397" t="n">
        <v>3.6</v>
      </c>
      <c r="Y397" s="1" t="n">
        <v>46151.18106481482</v>
      </c>
    </row>
    <row r="398">
      <c r="A398" t="inlineStr">
        <is>
          <t>pay_6kk9zu5h9lGK1L</t>
        </is>
      </c>
      <c r="B398" t="n">
        <v>3999</v>
      </c>
      <c r="C398" t="inlineStr">
        <is>
          <t>INR</t>
        </is>
      </c>
      <c r="D398" t="inlineStr">
        <is>
          <t>captured</t>
        </is>
      </c>
      <c r="E398" t="inlineStr">
        <is>
          <t>order_KYiP4sU6L5eOdD</t>
        </is>
      </c>
      <c r="G398" t="n">
        <v>0</v>
      </c>
      <c r="H398" t="inlineStr">
        <is>
          <t>upi</t>
        </is>
      </c>
      <c r="I398" t="n">
        <v>0</v>
      </c>
      <c r="J398" t="n">
        <v>0</v>
      </c>
      <c r="L398" t="n">
        <v>1</v>
      </c>
      <c r="R398" t="inlineStr">
        <is>
          <t>customer679@example.com</t>
        </is>
      </c>
      <c r="S398">
        <f>+919893184786</f>
        <v/>
      </c>
      <c r="T398" t="inlineStr">
        <is>
          <t>[]</t>
        </is>
      </c>
      <c r="U398" t="n">
        <v>79.98</v>
      </c>
      <c r="V398" t="n">
        <v>14.4</v>
      </c>
      <c r="Y398" s="1" t="n">
        <v>46143.37825231482</v>
      </c>
    </row>
    <row r="399">
      <c r="A399" t="inlineStr">
        <is>
          <t>pay_mUdsDrWSi4ebr4</t>
        </is>
      </c>
      <c r="B399" t="n">
        <v>499</v>
      </c>
      <c r="C399" t="inlineStr">
        <is>
          <t>INR</t>
        </is>
      </c>
      <c r="D399" t="inlineStr">
        <is>
          <t>captured</t>
        </is>
      </c>
      <c r="E399" t="inlineStr">
        <is>
          <t>order_kxsl6DQz7CC7rq</t>
        </is>
      </c>
      <c r="G399" t="n">
        <v>0</v>
      </c>
      <c r="H399" t="inlineStr">
        <is>
          <t>card</t>
        </is>
      </c>
      <c r="I399" t="n">
        <v>0</v>
      </c>
      <c r="J399" t="n">
        <v>0</v>
      </c>
      <c r="L399" t="n">
        <v>1</v>
      </c>
      <c r="R399" t="inlineStr">
        <is>
          <t>customer634@example.com</t>
        </is>
      </c>
      <c r="S399">
        <f>+919844046664</f>
        <v/>
      </c>
      <c r="T399" t="inlineStr">
        <is>
          <t>[]</t>
        </is>
      </c>
      <c r="U399" t="n">
        <v>9.98</v>
      </c>
      <c r="V399" t="n">
        <v>1.8</v>
      </c>
      <c r="Y399" s="1" t="n">
        <v>46165.58980324074</v>
      </c>
    </row>
    <row r="400">
      <c r="A400" t="inlineStr">
        <is>
          <t>pay_fW72Oh1ET5nb63</t>
        </is>
      </c>
      <c r="B400" t="n">
        <v>2499</v>
      </c>
      <c r="C400" t="inlineStr">
        <is>
          <t>INR</t>
        </is>
      </c>
      <c r="D400" t="inlineStr">
        <is>
          <t>failed</t>
        </is>
      </c>
      <c r="E400" t="inlineStr">
        <is>
          <t>order_VR1uojv3bDb03q</t>
        </is>
      </c>
      <c r="G400" t="n">
        <v>0</v>
      </c>
      <c r="H400" t="inlineStr">
        <is>
          <t>card</t>
        </is>
      </c>
      <c r="I400" t="n">
        <v>0</v>
      </c>
      <c r="J400" t="n">
        <v>0</v>
      </c>
      <c r="L400" t="n">
        <v>0</v>
      </c>
      <c r="R400" t="inlineStr">
        <is>
          <t>customer88@example.com</t>
        </is>
      </c>
      <c r="S400">
        <f>+919871434418</f>
        <v/>
      </c>
      <c r="T400" t="inlineStr">
        <is>
          <t>[]</t>
        </is>
      </c>
      <c r="W400" t="inlineStr">
        <is>
          <t>BAD_REQUEST_ERROR</t>
        </is>
      </c>
      <c r="X400" t="inlineStr">
        <is>
          <t>Payment cancelled by user</t>
        </is>
      </c>
      <c r="Y400" s="1" t="n">
        <v>46165.43067129629</v>
      </c>
    </row>
    <row r="401">
      <c r="A401" t="inlineStr">
        <is>
          <t>pay_TsiUHTH587MAcT</t>
        </is>
      </c>
      <c r="B401" t="n">
        <v>1799</v>
      </c>
      <c r="C401" t="inlineStr">
        <is>
          <t>INR</t>
        </is>
      </c>
      <c r="D401" t="inlineStr">
        <is>
          <t>captured</t>
        </is>
      </c>
      <c r="E401" t="inlineStr">
        <is>
          <t>order_J0CeEXs46VR9Kr</t>
        </is>
      </c>
      <c r="G401" t="n">
        <v>0</v>
      </c>
      <c r="H401" t="inlineStr">
        <is>
          <t>card</t>
        </is>
      </c>
      <c r="I401" t="n">
        <v>0</v>
      </c>
      <c r="J401" t="n">
        <v>0</v>
      </c>
      <c r="L401" t="n">
        <v>1</v>
      </c>
      <c r="R401" t="inlineStr">
        <is>
          <t>customer397@example.com</t>
        </is>
      </c>
      <c r="S401">
        <f>+919865103088</f>
        <v/>
      </c>
      <c r="T401" t="inlineStr">
        <is>
          <t>[]</t>
        </is>
      </c>
      <c r="U401" t="n">
        <v>35.98</v>
      </c>
      <c r="V401" t="n">
        <v>6.48</v>
      </c>
      <c r="Y401" s="1" t="n">
        <v>46168.33605324074</v>
      </c>
    </row>
    <row r="402">
      <c r="A402" t="inlineStr">
        <is>
          <t>pay_2bvzaXQXub13RI</t>
        </is>
      </c>
      <c r="B402" t="n">
        <v>999</v>
      </c>
      <c r="C402" t="inlineStr">
        <is>
          <t>INR</t>
        </is>
      </c>
      <c r="D402" t="inlineStr">
        <is>
          <t>failed</t>
        </is>
      </c>
      <c r="E402" t="inlineStr">
        <is>
          <t>order_0Grx0ice2ttlXH</t>
        </is>
      </c>
      <c r="G402" t="n">
        <v>0</v>
      </c>
      <c r="H402" t="inlineStr">
        <is>
          <t>upi</t>
        </is>
      </c>
      <c r="I402" t="n">
        <v>0</v>
      </c>
      <c r="J402" t="n">
        <v>0</v>
      </c>
      <c r="L402" t="n">
        <v>0</v>
      </c>
      <c r="R402" t="inlineStr">
        <is>
          <t>customer330@example.com</t>
        </is>
      </c>
      <c r="S402">
        <f>+919897570336</f>
        <v/>
      </c>
      <c r="T402" t="inlineStr">
        <is>
          <t>[]</t>
        </is>
      </c>
      <c r="W402" t="inlineStr">
        <is>
          <t>BAD_REQUEST_ERROR</t>
        </is>
      </c>
      <c r="X402" t="inlineStr">
        <is>
          <t>UPI app declined the request</t>
        </is>
      </c>
      <c r="Y402" s="1" t="n">
        <v>46155.98972222222</v>
      </c>
    </row>
    <row r="403">
      <c r="A403" t="inlineStr">
        <is>
          <t>pay_h6VrDfYtxofTFw</t>
        </is>
      </c>
      <c r="B403" t="n">
        <v>1499</v>
      </c>
      <c r="C403" t="inlineStr">
        <is>
          <t>INR</t>
        </is>
      </c>
      <c r="D403" t="inlineStr">
        <is>
          <t>captured</t>
        </is>
      </c>
      <c r="E403" t="inlineStr">
        <is>
          <t>order_eVBvpeopPJNwLZ</t>
        </is>
      </c>
      <c r="G403" t="n">
        <v>0</v>
      </c>
      <c r="H403" t="inlineStr">
        <is>
          <t>upi</t>
        </is>
      </c>
      <c r="I403" t="n">
        <v>0</v>
      </c>
      <c r="J403" t="n">
        <v>0</v>
      </c>
      <c r="L403" t="n">
        <v>1</v>
      </c>
      <c r="R403" t="inlineStr">
        <is>
          <t>customer693@example.com</t>
        </is>
      </c>
      <c r="S403">
        <f>+919830233588</f>
        <v/>
      </c>
      <c r="T403" t="inlineStr">
        <is>
          <t>[]</t>
        </is>
      </c>
      <c r="U403" t="n">
        <v>29.98</v>
      </c>
      <c r="V403" t="n">
        <v>5.4</v>
      </c>
      <c r="Y403" s="1" t="n">
        <v>46164.47528935185</v>
      </c>
    </row>
    <row r="404">
      <c r="A404" t="inlineStr">
        <is>
          <t>pay_OxTZpGgtJZlXOZ</t>
        </is>
      </c>
      <c r="B404" t="n">
        <v>1499</v>
      </c>
      <c r="C404" t="inlineStr">
        <is>
          <t>INR</t>
        </is>
      </c>
      <c r="D404" t="inlineStr">
        <is>
          <t>captured</t>
        </is>
      </c>
      <c r="E404" t="inlineStr">
        <is>
          <t>order_pNGofVxqnxfWJQ</t>
        </is>
      </c>
      <c r="G404" t="n">
        <v>0</v>
      </c>
      <c r="H404" t="inlineStr">
        <is>
          <t>card</t>
        </is>
      </c>
      <c r="I404" t="n">
        <v>0</v>
      </c>
      <c r="J404" t="n">
        <v>0</v>
      </c>
      <c r="L404" t="n">
        <v>1</v>
      </c>
      <c r="R404" t="inlineStr">
        <is>
          <t>customer68@example.com</t>
        </is>
      </c>
      <c r="S404">
        <f>+919879359559</f>
        <v/>
      </c>
      <c r="T404" t="inlineStr">
        <is>
          <t>[]</t>
        </is>
      </c>
      <c r="U404" t="n">
        <v>29.98</v>
      </c>
      <c r="V404" t="n">
        <v>5.4</v>
      </c>
      <c r="Y404" s="1" t="n">
        <v>46168.14986111111</v>
      </c>
    </row>
    <row r="405">
      <c r="A405" t="inlineStr">
        <is>
          <t>pay_Y98uBJn6V7xFGg</t>
        </is>
      </c>
      <c r="B405" t="n">
        <v>999</v>
      </c>
      <c r="C405" t="inlineStr">
        <is>
          <t>INR</t>
        </is>
      </c>
      <c r="D405" t="inlineStr">
        <is>
          <t>captured</t>
        </is>
      </c>
      <c r="E405" t="inlineStr">
        <is>
          <t>order_cf850t87wuWb53</t>
        </is>
      </c>
      <c r="G405" t="n">
        <v>0</v>
      </c>
      <c r="H405" t="inlineStr">
        <is>
          <t>upi</t>
        </is>
      </c>
      <c r="I405" t="n">
        <v>0</v>
      </c>
      <c r="J405" t="n">
        <v>0</v>
      </c>
      <c r="L405" t="n">
        <v>1</v>
      </c>
      <c r="R405" t="inlineStr">
        <is>
          <t>customer265@example.com</t>
        </is>
      </c>
      <c r="S405">
        <f>+919831265534</f>
        <v/>
      </c>
      <c r="T405" t="inlineStr">
        <is>
          <t>[]</t>
        </is>
      </c>
      <c r="U405" t="n">
        <v>19.98</v>
      </c>
      <c r="V405" t="n">
        <v>3.6</v>
      </c>
      <c r="Y405" s="1" t="n">
        <v>46162.41002314815</v>
      </c>
    </row>
    <row r="406">
      <c r="A406" t="inlineStr">
        <is>
          <t>pay_Zkm4eCpHs4gZ7z</t>
        </is>
      </c>
      <c r="B406" t="n">
        <v>2499</v>
      </c>
      <c r="C406" t="inlineStr">
        <is>
          <t>INR</t>
        </is>
      </c>
      <c r="D406" t="inlineStr">
        <is>
          <t>captured</t>
        </is>
      </c>
      <c r="E406" t="inlineStr">
        <is>
          <t>order_0oGw8ocn6MTERA</t>
        </is>
      </c>
      <c r="G406" t="n">
        <v>0</v>
      </c>
      <c r="H406" t="inlineStr">
        <is>
          <t>netbanking</t>
        </is>
      </c>
      <c r="I406" t="n">
        <v>0</v>
      </c>
      <c r="J406" t="n">
        <v>0</v>
      </c>
      <c r="L406" t="n">
        <v>1</v>
      </c>
      <c r="R406" t="inlineStr">
        <is>
          <t>customer825@example.com</t>
        </is>
      </c>
      <c r="S406">
        <f>+919892827522</f>
        <v/>
      </c>
      <c r="T406" t="inlineStr">
        <is>
          <t>[]</t>
        </is>
      </c>
      <c r="U406" t="n">
        <v>49.98</v>
      </c>
      <c r="V406" t="n">
        <v>9</v>
      </c>
      <c r="Y406" s="1" t="n">
        <v>46147.7124537037</v>
      </c>
    </row>
    <row r="407">
      <c r="A407" t="inlineStr">
        <is>
          <t>pay_hL2HuEpcsxWz2h</t>
        </is>
      </c>
      <c r="B407" t="n">
        <v>999</v>
      </c>
      <c r="C407" t="inlineStr">
        <is>
          <t>INR</t>
        </is>
      </c>
      <c r="D407" t="inlineStr">
        <is>
          <t>captured</t>
        </is>
      </c>
      <c r="E407" t="inlineStr">
        <is>
          <t>order_Ghtel2F1CtEw8c</t>
        </is>
      </c>
      <c r="G407" t="n">
        <v>0</v>
      </c>
      <c r="H407" t="inlineStr">
        <is>
          <t>netbanking</t>
        </is>
      </c>
      <c r="I407" t="n">
        <v>0</v>
      </c>
      <c r="J407" t="n">
        <v>0</v>
      </c>
      <c r="L407" t="n">
        <v>1</v>
      </c>
      <c r="R407" t="inlineStr">
        <is>
          <t>customer322@example.com</t>
        </is>
      </c>
      <c r="S407">
        <f>+919835496493</f>
        <v/>
      </c>
      <c r="T407" t="inlineStr">
        <is>
          <t>[]</t>
        </is>
      </c>
      <c r="U407" t="n">
        <v>19.98</v>
      </c>
      <c r="V407" t="n">
        <v>3.6</v>
      </c>
      <c r="Y407" s="1" t="n">
        <v>46156.6917824074</v>
      </c>
    </row>
    <row r="408">
      <c r="A408" t="inlineStr">
        <is>
          <t>pay_TXH5zxaxVVABLd</t>
        </is>
      </c>
      <c r="B408" t="n">
        <v>1499</v>
      </c>
      <c r="C408" t="inlineStr">
        <is>
          <t>INR</t>
        </is>
      </c>
      <c r="D408" t="inlineStr">
        <is>
          <t>captured</t>
        </is>
      </c>
      <c r="E408" t="inlineStr">
        <is>
          <t>order_lETgdCYlCu9eQr</t>
        </is>
      </c>
      <c r="G408" t="n">
        <v>0</v>
      </c>
      <c r="H408" t="inlineStr">
        <is>
          <t>upi</t>
        </is>
      </c>
      <c r="I408" t="n">
        <v>0</v>
      </c>
      <c r="J408" t="n">
        <v>0</v>
      </c>
      <c r="L408" t="n">
        <v>1</v>
      </c>
      <c r="R408" t="inlineStr">
        <is>
          <t>customer535@example.com</t>
        </is>
      </c>
      <c r="S408">
        <f>+919863829754</f>
        <v/>
      </c>
      <c r="T408" t="inlineStr">
        <is>
          <t>[]</t>
        </is>
      </c>
      <c r="U408" t="n">
        <v>29.98</v>
      </c>
      <c r="V408" t="n">
        <v>5.4</v>
      </c>
      <c r="Y408" s="1" t="n">
        <v>46151.57216435186</v>
      </c>
    </row>
    <row r="409">
      <c r="A409" t="inlineStr">
        <is>
          <t>pay_sa0ok1PBp7vTNy</t>
        </is>
      </c>
      <c r="B409" t="n">
        <v>999</v>
      </c>
      <c r="C409" t="inlineStr">
        <is>
          <t>INR</t>
        </is>
      </c>
      <c r="D409" t="inlineStr">
        <is>
          <t>captured</t>
        </is>
      </c>
      <c r="E409" t="inlineStr">
        <is>
          <t>order_eELxz598ktq4MI</t>
        </is>
      </c>
      <c r="G409" t="n">
        <v>0</v>
      </c>
      <c r="H409" t="inlineStr">
        <is>
          <t>card</t>
        </is>
      </c>
      <c r="I409" t="n">
        <v>0</v>
      </c>
      <c r="J409" t="n">
        <v>0</v>
      </c>
      <c r="L409" t="n">
        <v>1</v>
      </c>
      <c r="R409" t="inlineStr">
        <is>
          <t>customer426@example.com</t>
        </is>
      </c>
      <c r="S409">
        <f>+919822975147</f>
        <v/>
      </c>
      <c r="T409" t="inlineStr">
        <is>
          <t>[]</t>
        </is>
      </c>
      <c r="U409" t="n">
        <v>19.98</v>
      </c>
      <c r="V409" t="n">
        <v>3.6</v>
      </c>
      <c r="Y409" s="1" t="n">
        <v>46162.41391203704</v>
      </c>
    </row>
    <row r="410">
      <c r="A410" t="inlineStr">
        <is>
          <t>pay_UDczaCc30F3dpb</t>
        </is>
      </c>
      <c r="B410" t="n">
        <v>1499</v>
      </c>
      <c r="C410" t="inlineStr">
        <is>
          <t>INR</t>
        </is>
      </c>
      <c r="D410" t="inlineStr">
        <is>
          <t>refunded</t>
        </is>
      </c>
      <c r="E410" t="inlineStr">
        <is>
          <t>order_kADed7faUxMlAe</t>
        </is>
      </c>
      <c r="G410" t="n">
        <v>0</v>
      </c>
      <c r="H410" t="inlineStr">
        <is>
          <t>card</t>
        </is>
      </c>
      <c r="I410" t="n">
        <v>1499</v>
      </c>
      <c r="J410" t="n">
        <v>0</v>
      </c>
      <c r="K410" t="inlineStr">
        <is>
          <t>full</t>
        </is>
      </c>
      <c r="L410" t="n">
        <v>1</v>
      </c>
      <c r="R410" t="inlineStr">
        <is>
          <t>customer248@example.com</t>
        </is>
      </c>
      <c r="S410">
        <f>+919884793059</f>
        <v/>
      </c>
      <c r="T410" t="inlineStr">
        <is>
          <t>[]</t>
        </is>
      </c>
      <c r="U410" t="n">
        <v>29.98</v>
      </c>
      <c r="V410" t="n">
        <v>5.4</v>
      </c>
      <c r="Y410" s="1" t="n">
        <v>46155.54165509259</v>
      </c>
    </row>
    <row r="411">
      <c r="A411" t="inlineStr">
        <is>
          <t>pay_3PD4yaV6BIhNtf</t>
        </is>
      </c>
      <c r="B411" t="n">
        <v>1799</v>
      </c>
      <c r="C411" t="inlineStr">
        <is>
          <t>INR</t>
        </is>
      </c>
      <c r="D411" t="inlineStr">
        <is>
          <t>failed</t>
        </is>
      </c>
      <c r="E411" t="inlineStr">
        <is>
          <t>order_flhg14vCJRf8bh</t>
        </is>
      </c>
      <c r="G411" t="n">
        <v>0</v>
      </c>
      <c r="H411" t="inlineStr">
        <is>
          <t>card</t>
        </is>
      </c>
      <c r="I411" t="n">
        <v>0</v>
      </c>
      <c r="J411" t="n">
        <v>0</v>
      </c>
      <c r="L411" t="n">
        <v>0</v>
      </c>
      <c r="R411" t="inlineStr">
        <is>
          <t>customer856@example.com</t>
        </is>
      </c>
      <c r="S411">
        <f>+919836885560</f>
        <v/>
      </c>
      <c r="T411" t="inlineStr">
        <is>
          <t>[]</t>
        </is>
      </c>
      <c r="W411" t="inlineStr">
        <is>
          <t>BAD_REQUEST_ERROR</t>
        </is>
      </c>
      <c r="X411" t="inlineStr">
        <is>
          <t>Payment cancelled by user</t>
        </is>
      </c>
      <c r="Y411" s="1" t="n">
        <v>46155.79333333333</v>
      </c>
    </row>
    <row r="412">
      <c r="A412" t="inlineStr">
        <is>
          <t>pay_2iP6YIyfqfeWFw</t>
        </is>
      </c>
      <c r="B412" t="n">
        <v>999</v>
      </c>
      <c r="C412" t="inlineStr">
        <is>
          <t>INR</t>
        </is>
      </c>
      <c r="D412" t="inlineStr">
        <is>
          <t>failed</t>
        </is>
      </c>
      <c r="E412" t="inlineStr">
        <is>
          <t>order_UChsM5d1ilYmnp</t>
        </is>
      </c>
      <c r="G412" t="n">
        <v>0</v>
      </c>
      <c r="H412" t="inlineStr">
        <is>
          <t>upi</t>
        </is>
      </c>
      <c r="I412" t="n">
        <v>0</v>
      </c>
      <c r="J412" t="n">
        <v>0</v>
      </c>
      <c r="L412" t="n">
        <v>0</v>
      </c>
      <c r="R412" t="inlineStr">
        <is>
          <t>customer728@example.com</t>
        </is>
      </c>
      <c r="S412">
        <f>+919834571374</f>
        <v/>
      </c>
      <c r="T412" t="inlineStr">
        <is>
          <t>[]</t>
        </is>
      </c>
      <c r="W412" t="inlineStr">
        <is>
          <t>BAD_REQUEST_ERROR</t>
        </is>
      </c>
      <c r="X412" t="inlineStr">
        <is>
          <t>UPI app declined the request</t>
        </is>
      </c>
      <c r="Y412" s="1" t="n">
        <v>46163.2389699074</v>
      </c>
    </row>
    <row r="413">
      <c r="A413" t="inlineStr">
        <is>
          <t>pay_z34tVWPoduqGvy</t>
        </is>
      </c>
      <c r="B413" t="n">
        <v>999</v>
      </c>
      <c r="C413" t="inlineStr">
        <is>
          <t>INR</t>
        </is>
      </c>
      <c r="D413" t="inlineStr">
        <is>
          <t>failed</t>
        </is>
      </c>
      <c r="E413" t="inlineStr">
        <is>
          <t>order_nnn5oOo53F6S3G</t>
        </is>
      </c>
      <c r="G413" t="n">
        <v>0</v>
      </c>
      <c r="H413" t="inlineStr">
        <is>
          <t>netbanking</t>
        </is>
      </c>
      <c r="I413" t="n">
        <v>0</v>
      </c>
      <c r="J413" t="n">
        <v>0</v>
      </c>
      <c r="L413" t="n">
        <v>0</v>
      </c>
      <c r="R413" t="inlineStr">
        <is>
          <t>customer322@example.com</t>
        </is>
      </c>
      <c r="S413">
        <f>+919828445882</f>
        <v/>
      </c>
      <c r="T413" t="inlineStr">
        <is>
          <t>[]</t>
        </is>
      </c>
      <c r="W413" t="inlineStr">
        <is>
          <t>BAD_REQUEST_ERROR</t>
        </is>
      </c>
      <c r="X413" t="inlineStr">
        <is>
          <t>Payment cancelled by user</t>
        </is>
      </c>
      <c r="Y413" s="1" t="n">
        <v>46171.21925925926</v>
      </c>
    </row>
    <row r="414">
      <c r="A414" t="inlineStr">
        <is>
          <t>pay_wUoW3QULnVn5ik</t>
        </is>
      </c>
      <c r="B414" t="n">
        <v>999</v>
      </c>
      <c r="C414" t="inlineStr">
        <is>
          <t>INR</t>
        </is>
      </c>
      <c r="D414" t="inlineStr">
        <is>
          <t>captured</t>
        </is>
      </c>
      <c r="E414" t="inlineStr">
        <is>
          <t>order_32CsO3Ynnd6ryV</t>
        </is>
      </c>
      <c r="G414" t="n">
        <v>0</v>
      </c>
      <c r="H414" t="inlineStr">
        <is>
          <t>upi</t>
        </is>
      </c>
      <c r="I414" t="n">
        <v>0</v>
      </c>
      <c r="J414" t="n">
        <v>0</v>
      </c>
      <c r="L414" t="n">
        <v>1</v>
      </c>
      <c r="R414" t="inlineStr">
        <is>
          <t>customer890@example.com</t>
        </is>
      </c>
      <c r="S414">
        <f>+919812700243</f>
        <v/>
      </c>
      <c r="T414" t="inlineStr">
        <is>
          <t>[]</t>
        </is>
      </c>
      <c r="U414" t="n">
        <v>19.98</v>
      </c>
      <c r="V414" t="n">
        <v>3.6</v>
      </c>
      <c r="Y414" s="1" t="n">
        <v>46157.42175925926</v>
      </c>
    </row>
    <row r="415">
      <c r="A415" t="inlineStr">
        <is>
          <t>pay_POJbqTpml1G1vY</t>
        </is>
      </c>
      <c r="B415" t="n">
        <v>1499</v>
      </c>
      <c r="C415" t="inlineStr">
        <is>
          <t>INR</t>
        </is>
      </c>
      <c r="D415" t="inlineStr">
        <is>
          <t>captured</t>
        </is>
      </c>
      <c r="E415" t="inlineStr">
        <is>
          <t>order_WEhgA8AHH4OjY2</t>
        </is>
      </c>
      <c r="G415" t="n">
        <v>0</v>
      </c>
      <c r="H415" t="inlineStr">
        <is>
          <t>upi</t>
        </is>
      </c>
      <c r="I415" t="n">
        <v>0</v>
      </c>
      <c r="J415" t="n">
        <v>0</v>
      </c>
      <c r="L415" t="n">
        <v>1</v>
      </c>
      <c r="R415" t="inlineStr">
        <is>
          <t>customer475@example.com</t>
        </is>
      </c>
      <c r="S415">
        <f>+919852089677</f>
        <v/>
      </c>
      <c r="T415" t="inlineStr">
        <is>
          <t>[]</t>
        </is>
      </c>
      <c r="U415" t="n">
        <v>29.98</v>
      </c>
      <c r="V415" t="n">
        <v>5.4</v>
      </c>
      <c r="Y415" s="1" t="n">
        <v>46150.99182870371</v>
      </c>
    </row>
    <row r="416">
      <c r="A416" t="inlineStr">
        <is>
          <t>pay_4slZTW2CAXEpMB</t>
        </is>
      </c>
      <c r="B416" t="n">
        <v>1499</v>
      </c>
      <c r="C416" t="inlineStr">
        <is>
          <t>INR</t>
        </is>
      </c>
      <c r="D416" t="inlineStr">
        <is>
          <t>captured</t>
        </is>
      </c>
      <c r="E416" t="inlineStr">
        <is>
          <t>order_gSkJ5YYlXaorQ8</t>
        </is>
      </c>
      <c r="G416" t="n">
        <v>0</v>
      </c>
      <c r="H416" t="inlineStr">
        <is>
          <t>upi</t>
        </is>
      </c>
      <c r="I416" t="n">
        <v>0</v>
      </c>
      <c r="J416" t="n">
        <v>0</v>
      </c>
      <c r="L416" t="n">
        <v>1</v>
      </c>
      <c r="R416" t="inlineStr">
        <is>
          <t>customer781@example.com</t>
        </is>
      </c>
      <c r="S416">
        <f>+919856416178</f>
        <v/>
      </c>
      <c r="T416" t="inlineStr">
        <is>
          <t>[]</t>
        </is>
      </c>
      <c r="U416" t="n">
        <v>29.98</v>
      </c>
      <c r="V416" t="n">
        <v>5.4</v>
      </c>
      <c r="Y416" s="1" t="n">
        <v>46152.33738425926</v>
      </c>
    </row>
    <row r="417">
      <c r="A417" t="inlineStr">
        <is>
          <t>pay_ah7HAUyh659qXp</t>
        </is>
      </c>
      <c r="B417" t="n">
        <v>2499</v>
      </c>
      <c r="C417" t="inlineStr">
        <is>
          <t>INR</t>
        </is>
      </c>
      <c r="D417" t="inlineStr">
        <is>
          <t>captured</t>
        </is>
      </c>
      <c r="E417" t="inlineStr">
        <is>
          <t>order_eIBcraRnl1qQPN</t>
        </is>
      </c>
      <c r="G417" t="n">
        <v>0</v>
      </c>
      <c r="H417" t="inlineStr">
        <is>
          <t>netbanking</t>
        </is>
      </c>
      <c r="I417" t="n">
        <v>0</v>
      </c>
      <c r="J417" t="n">
        <v>0</v>
      </c>
      <c r="L417" t="n">
        <v>1</v>
      </c>
      <c r="R417" t="inlineStr">
        <is>
          <t>customer872@example.com</t>
        </is>
      </c>
      <c r="S417">
        <f>+919835022680</f>
        <v/>
      </c>
      <c r="T417" t="inlineStr">
        <is>
          <t>[]</t>
        </is>
      </c>
      <c r="U417" t="n">
        <v>49.98</v>
      </c>
      <c r="V417" t="n">
        <v>9</v>
      </c>
      <c r="Y417" s="1" t="n">
        <v>46144.0150462963</v>
      </c>
    </row>
    <row r="418">
      <c r="A418" t="inlineStr">
        <is>
          <t>pay_ANKZoIPHwWEEBb</t>
        </is>
      </c>
      <c r="B418" t="n">
        <v>1499</v>
      </c>
      <c r="C418" t="inlineStr">
        <is>
          <t>INR</t>
        </is>
      </c>
      <c r="D418" t="inlineStr">
        <is>
          <t>captured</t>
        </is>
      </c>
      <c r="E418" t="inlineStr">
        <is>
          <t>order_FWIv8ekv8CyZoX</t>
        </is>
      </c>
      <c r="G418" t="n">
        <v>0</v>
      </c>
      <c r="H418" t="inlineStr">
        <is>
          <t>upi</t>
        </is>
      </c>
      <c r="I418" t="n">
        <v>0</v>
      </c>
      <c r="J418" t="n">
        <v>0</v>
      </c>
      <c r="L418" t="n">
        <v>1</v>
      </c>
      <c r="R418" t="inlineStr">
        <is>
          <t>customer781@example.com</t>
        </is>
      </c>
      <c r="S418">
        <f>+919857090291</f>
        <v/>
      </c>
      <c r="T418" t="inlineStr">
        <is>
          <t>[]</t>
        </is>
      </c>
      <c r="U418" t="n">
        <v>29.98</v>
      </c>
      <c r="V418" t="n">
        <v>5.4</v>
      </c>
      <c r="Y418" s="1" t="n">
        <v>46143.6441087963</v>
      </c>
    </row>
    <row r="419">
      <c r="A419" t="inlineStr">
        <is>
          <t>pay_srSxX4jPoJ3N2v</t>
        </is>
      </c>
      <c r="B419" t="n">
        <v>1799</v>
      </c>
      <c r="C419" t="inlineStr">
        <is>
          <t>INR</t>
        </is>
      </c>
      <c r="D419" t="inlineStr">
        <is>
          <t>captured</t>
        </is>
      </c>
      <c r="E419" t="inlineStr">
        <is>
          <t>order_CtDHctprwrwQo7</t>
        </is>
      </c>
      <c r="G419" t="n">
        <v>0</v>
      </c>
      <c r="H419" t="inlineStr">
        <is>
          <t>upi</t>
        </is>
      </c>
      <c r="I419" t="n">
        <v>0</v>
      </c>
      <c r="J419" t="n">
        <v>0</v>
      </c>
      <c r="L419" t="n">
        <v>1</v>
      </c>
      <c r="R419" t="inlineStr">
        <is>
          <t>customer292@example.com</t>
        </is>
      </c>
      <c r="S419">
        <f>+919812284077</f>
        <v/>
      </c>
      <c r="T419" t="inlineStr">
        <is>
          <t>[]</t>
        </is>
      </c>
      <c r="U419" t="n">
        <v>35.98</v>
      </c>
      <c r="V419" t="n">
        <v>6.48</v>
      </c>
      <c r="Y419" s="1" t="n">
        <v>46155.75048611111</v>
      </c>
    </row>
    <row r="420">
      <c r="A420" t="inlineStr">
        <is>
          <t>pay_NnWtQWnW8pQGSM</t>
        </is>
      </c>
      <c r="B420" t="n">
        <v>1499</v>
      </c>
      <c r="C420" t="inlineStr">
        <is>
          <t>INR</t>
        </is>
      </c>
      <c r="D420" t="inlineStr">
        <is>
          <t>captured</t>
        </is>
      </c>
      <c r="E420" t="inlineStr">
        <is>
          <t>order_3cDV1GfPIvelFn</t>
        </is>
      </c>
      <c r="G420" t="n">
        <v>0</v>
      </c>
      <c r="H420" t="inlineStr">
        <is>
          <t>card</t>
        </is>
      </c>
      <c r="I420" t="n">
        <v>0</v>
      </c>
      <c r="J420" t="n">
        <v>0</v>
      </c>
      <c r="L420" t="n">
        <v>1</v>
      </c>
      <c r="R420" t="inlineStr">
        <is>
          <t>customer575@example.com</t>
        </is>
      </c>
      <c r="S420">
        <f>+919863521152</f>
        <v/>
      </c>
      <c r="T420" t="inlineStr">
        <is>
          <t>[]</t>
        </is>
      </c>
      <c r="U420" t="n">
        <v>29.98</v>
      </c>
      <c r="V420" t="n">
        <v>5.4</v>
      </c>
      <c r="Y420" s="1" t="n">
        <v>46169.30480324074</v>
      </c>
    </row>
    <row r="421">
      <c r="A421" t="inlineStr">
        <is>
          <t>pay_q5VzuhL0J9z2lu</t>
        </is>
      </c>
      <c r="B421" t="n">
        <v>999</v>
      </c>
      <c r="C421" t="inlineStr">
        <is>
          <t>INR</t>
        </is>
      </c>
      <c r="D421" t="inlineStr">
        <is>
          <t>captured</t>
        </is>
      </c>
      <c r="E421" t="inlineStr">
        <is>
          <t>order_MA6ZrqFzXl1Ky7</t>
        </is>
      </c>
      <c r="G421" t="n">
        <v>0</v>
      </c>
      <c r="H421" t="inlineStr">
        <is>
          <t>card</t>
        </is>
      </c>
      <c r="I421" t="n">
        <v>0</v>
      </c>
      <c r="J421" t="n">
        <v>0</v>
      </c>
      <c r="L421" t="n">
        <v>1</v>
      </c>
      <c r="R421" t="inlineStr">
        <is>
          <t>customer399@example.com</t>
        </is>
      </c>
      <c r="S421">
        <f>+919898863108</f>
        <v/>
      </c>
      <c r="T421" t="inlineStr">
        <is>
          <t>[]</t>
        </is>
      </c>
      <c r="U421" t="n">
        <v>19.98</v>
      </c>
      <c r="V421" t="n">
        <v>3.6</v>
      </c>
      <c r="Y421" s="1" t="n">
        <v>46148.80407407408</v>
      </c>
    </row>
    <row r="422">
      <c r="A422" t="inlineStr">
        <is>
          <t>pay_d4bsWLYbymHRui</t>
        </is>
      </c>
      <c r="B422" t="n">
        <v>2499</v>
      </c>
      <c r="C422" t="inlineStr">
        <is>
          <t>INR</t>
        </is>
      </c>
      <c r="D422" t="inlineStr">
        <is>
          <t>captured</t>
        </is>
      </c>
      <c r="E422" t="inlineStr">
        <is>
          <t>order_i4lDo2kIemVJo8</t>
        </is>
      </c>
      <c r="G422" t="n">
        <v>0</v>
      </c>
      <c r="H422" t="inlineStr">
        <is>
          <t>upi</t>
        </is>
      </c>
      <c r="I422" t="n">
        <v>0</v>
      </c>
      <c r="J422" t="n">
        <v>0</v>
      </c>
      <c r="L422" t="n">
        <v>1</v>
      </c>
      <c r="R422" t="inlineStr">
        <is>
          <t>customer672@example.com</t>
        </is>
      </c>
      <c r="S422">
        <f>+919820230523</f>
        <v/>
      </c>
      <c r="T422" t="inlineStr">
        <is>
          <t>[]</t>
        </is>
      </c>
      <c r="U422" t="n">
        <v>49.98</v>
      </c>
      <c r="V422" t="n">
        <v>9</v>
      </c>
      <c r="Y422" s="1" t="n">
        <v>46151.07893518519</v>
      </c>
    </row>
    <row r="423">
      <c r="A423" t="inlineStr">
        <is>
          <t>pay_v8tf1yOshnVHPT</t>
        </is>
      </c>
      <c r="B423" t="n">
        <v>999</v>
      </c>
      <c r="C423" t="inlineStr">
        <is>
          <t>INR</t>
        </is>
      </c>
      <c r="D423" t="inlineStr">
        <is>
          <t>captured</t>
        </is>
      </c>
      <c r="E423" t="inlineStr">
        <is>
          <t>order_k18lrpLRpZCEwC</t>
        </is>
      </c>
      <c r="G423" t="n">
        <v>0</v>
      </c>
      <c r="H423" t="inlineStr">
        <is>
          <t>upi</t>
        </is>
      </c>
      <c r="I423" t="n">
        <v>0</v>
      </c>
      <c r="J423" t="n">
        <v>0</v>
      </c>
      <c r="L423" t="n">
        <v>1</v>
      </c>
      <c r="R423" t="inlineStr">
        <is>
          <t>customer587@example.com</t>
        </is>
      </c>
      <c r="S423">
        <f>+919892473768</f>
        <v/>
      </c>
      <c r="T423" t="inlineStr">
        <is>
          <t>[]</t>
        </is>
      </c>
      <c r="U423" t="n">
        <v>19.98</v>
      </c>
      <c r="V423" t="n">
        <v>3.6</v>
      </c>
      <c r="Y423" s="1" t="n">
        <v>46153.1675462963</v>
      </c>
    </row>
    <row r="424">
      <c r="A424" t="inlineStr">
        <is>
          <t>pay_QRpQzVQYpDuLcL</t>
        </is>
      </c>
      <c r="B424" t="n">
        <v>999</v>
      </c>
      <c r="C424" t="inlineStr">
        <is>
          <t>INR</t>
        </is>
      </c>
      <c r="D424" t="inlineStr">
        <is>
          <t>captured</t>
        </is>
      </c>
      <c r="E424" t="inlineStr">
        <is>
          <t>order_lB0nWZTghYnbKR</t>
        </is>
      </c>
      <c r="G424" t="n">
        <v>0</v>
      </c>
      <c r="H424" t="inlineStr">
        <is>
          <t>card</t>
        </is>
      </c>
      <c r="I424" t="n">
        <v>0</v>
      </c>
      <c r="J424" t="n">
        <v>0</v>
      </c>
      <c r="L424" t="n">
        <v>1</v>
      </c>
      <c r="R424" t="inlineStr">
        <is>
          <t>customer780@example.com</t>
        </is>
      </c>
      <c r="S424">
        <f>+919847770192</f>
        <v/>
      </c>
      <c r="T424" t="inlineStr">
        <is>
          <t>[]</t>
        </is>
      </c>
      <c r="U424" t="n">
        <v>19.98</v>
      </c>
      <c r="V424" t="n">
        <v>3.6</v>
      </c>
      <c r="Y424" s="1" t="n">
        <v>46152.49576388889</v>
      </c>
    </row>
    <row r="425">
      <c r="A425" t="inlineStr">
        <is>
          <t>pay_rDjB4555XgYqsa</t>
        </is>
      </c>
      <c r="B425" t="n">
        <v>1799</v>
      </c>
      <c r="C425" t="inlineStr">
        <is>
          <t>INR</t>
        </is>
      </c>
      <c r="D425" t="inlineStr">
        <is>
          <t>captured</t>
        </is>
      </c>
      <c r="E425" t="inlineStr">
        <is>
          <t>order_Hx0NILW9m7rATY</t>
        </is>
      </c>
      <c r="G425" t="n">
        <v>0</v>
      </c>
      <c r="H425" t="inlineStr">
        <is>
          <t>upi</t>
        </is>
      </c>
      <c r="I425" t="n">
        <v>0</v>
      </c>
      <c r="J425" t="n">
        <v>0</v>
      </c>
      <c r="L425" t="n">
        <v>1</v>
      </c>
      <c r="R425" t="inlineStr">
        <is>
          <t>customer158@example.com</t>
        </is>
      </c>
      <c r="S425">
        <f>+919879221873</f>
        <v/>
      </c>
      <c r="T425" t="inlineStr">
        <is>
          <t>[]</t>
        </is>
      </c>
      <c r="U425" t="n">
        <v>35.98</v>
      </c>
      <c r="V425" t="n">
        <v>6.48</v>
      </c>
      <c r="Y425" s="1" t="n">
        <v>46154.59412037037</v>
      </c>
    </row>
    <row r="426">
      <c r="A426" t="inlineStr">
        <is>
          <t>pay_9GC9WBAJTl0Hrt</t>
        </is>
      </c>
      <c r="B426" t="n">
        <v>1799</v>
      </c>
      <c r="C426" t="inlineStr">
        <is>
          <t>INR</t>
        </is>
      </c>
      <c r="D426" t="inlineStr">
        <is>
          <t>failed</t>
        </is>
      </c>
      <c r="E426" t="inlineStr">
        <is>
          <t>order_ZAncKG9pdGRorl</t>
        </is>
      </c>
      <c r="G426" t="n">
        <v>0</v>
      </c>
      <c r="H426" t="inlineStr">
        <is>
          <t>upi</t>
        </is>
      </c>
      <c r="I426" t="n">
        <v>0</v>
      </c>
      <c r="J426" t="n">
        <v>0</v>
      </c>
      <c r="L426" t="n">
        <v>0</v>
      </c>
      <c r="R426" t="inlineStr">
        <is>
          <t>customer179@example.com</t>
        </is>
      </c>
      <c r="S426">
        <f>+919832795403</f>
        <v/>
      </c>
      <c r="T426" t="inlineStr">
        <is>
          <t>[]</t>
        </is>
      </c>
      <c r="W426" t="inlineStr">
        <is>
          <t>BAD_REQUEST_ERROR</t>
        </is>
      </c>
      <c r="X426" t="inlineStr">
        <is>
          <t>UPI app declined the request</t>
        </is>
      </c>
      <c r="Y426" s="1" t="n">
        <v>46153.22377314815</v>
      </c>
    </row>
    <row r="427">
      <c r="A427" t="inlineStr">
        <is>
          <t>pay_9yyhgBQ1uNE1s8</t>
        </is>
      </c>
      <c r="B427" t="n">
        <v>1799</v>
      </c>
      <c r="C427" t="inlineStr">
        <is>
          <t>INR</t>
        </is>
      </c>
      <c r="D427" t="inlineStr">
        <is>
          <t>captured</t>
        </is>
      </c>
      <c r="E427" t="inlineStr">
        <is>
          <t>order_ZAncKG9pdGRorl</t>
        </is>
      </c>
      <c r="G427" t="n">
        <v>0</v>
      </c>
      <c r="H427" t="inlineStr">
        <is>
          <t>upi</t>
        </is>
      </c>
      <c r="I427" t="n">
        <v>0</v>
      </c>
      <c r="J427" t="n">
        <v>0</v>
      </c>
      <c r="L427" t="n">
        <v>1</v>
      </c>
      <c r="R427" t="inlineStr">
        <is>
          <t>customer282@example.com</t>
        </is>
      </c>
      <c r="S427">
        <f>+919841435350</f>
        <v/>
      </c>
      <c r="T427" t="inlineStr">
        <is>
          <t>[]</t>
        </is>
      </c>
      <c r="U427" t="n">
        <v>35.98</v>
      </c>
      <c r="V427" t="n">
        <v>6.48</v>
      </c>
      <c r="Y427" s="1" t="n">
        <v>46153.22589120371</v>
      </c>
    </row>
    <row r="428">
      <c r="A428" t="inlineStr">
        <is>
          <t>pay_LRuN3e8kcbzTo6</t>
        </is>
      </c>
      <c r="B428" t="n">
        <v>1499</v>
      </c>
      <c r="C428" t="inlineStr">
        <is>
          <t>INR</t>
        </is>
      </c>
      <c r="D428" t="inlineStr">
        <is>
          <t>failed</t>
        </is>
      </c>
      <c r="E428" t="inlineStr">
        <is>
          <t>order_aoGttmWzwQfbUP</t>
        </is>
      </c>
      <c r="G428" t="n">
        <v>0</v>
      </c>
      <c r="H428" t="inlineStr">
        <is>
          <t>upi</t>
        </is>
      </c>
      <c r="I428" t="n">
        <v>0</v>
      </c>
      <c r="J428" t="n">
        <v>0</v>
      </c>
      <c r="L428" t="n">
        <v>0</v>
      </c>
      <c r="R428" t="inlineStr">
        <is>
          <t>customer785@example.com</t>
        </is>
      </c>
      <c r="S428">
        <f>+919828667836</f>
        <v/>
      </c>
      <c r="T428" t="inlineStr">
        <is>
          <t>[]</t>
        </is>
      </c>
      <c r="W428" t="inlineStr">
        <is>
          <t>BAD_REQUEST_ERROR</t>
        </is>
      </c>
      <c r="X428" t="inlineStr">
        <is>
          <t>Payment was not completed on time</t>
        </is>
      </c>
      <c r="Y428" s="1" t="n">
        <v>46162.92726851852</v>
      </c>
    </row>
    <row r="429">
      <c r="A429" t="inlineStr">
        <is>
          <t>pay_HvoOqB5hoNTPZ8</t>
        </is>
      </c>
      <c r="B429" t="n">
        <v>3999</v>
      </c>
      <c r="C429" t="inlineStr">
        <is>
          <t>INR</t>
        </is>
      </c>
      <c r="D429" t="inlineStr">
        <is>
          <t>captured</t>
        </is>
      </c>
      <c r="E429" t="inlineStr">
        <is>
          <t>order_BYDu9i7Uk3cS7V</t>
        </is>
      </c>
      <c r="G429" t="n">
        <v>0</v>
      </c>
      <c r="H429" t="inlineStr">
        <is>
          <t>card</t>
        </is>
      </c>
      <c r="I429" t="n">
        <v>0</v>
      </c>
      <c r="J429" t="n">
        <v>0</v>
      </c>
      <c r="L429" t="n">
        <v>1</v>
      </c>
      <c r="R429" t="inlineStr">
        <is>
          <t>customer391@example.com</t>
        </is>
      </c>
      <c r="S429">
        <f>+919853727149</f>
        <v/>
      </c>
      <c r="T429" t="inlineStr">
        <is>
          <t>[]</t>
        </is>
      </c>
      <c r="U429" t="n">
        <v>79.98</v>
      </c>
      <c r="V429" t="n">
        <v>14.4</v>
      </c>
      <c r="Y429" s="1" t="n">
        <v>46169.63232638889</v>
      </c>
    </row>
    <row r="430">
      <c r="A430" t="inlineStr">
        <is>
          <t>pay_NID896OO5oEJuK</t>
        </is>
      </c>
      <c r="B430" t="n">
        <v>2499</v>
      </c>
      <c r="C430" t="inlineStr">
        <is>
          <t>INR</t>
        </is>
      </c>
      <c r="D430" t="inlineStr">
        <is>
          <t>failed</t>
        </is>
      </c>
      <c r="E430" t="inlineStr">
        <is>
          <t>order_gsE1KCM5xlHipO</t>
        </is>
      </c>
      <c r="G430" t="n">
        <v>0</v>
      </c>
      <c r="H430" t="inlineStr">
        <is>
          <t>card</t>
        </is>
      </c>
      <c r="I430" t="n">
        <v>0</v>
      </c>
      <c r="J430" t="n">
        <v>0</v>
      </c>
      <c r="L430" t="n">
        <v>0</v>
      </c>
      <c r="R430" t="inlineStr">
        <is>
          <t>customer598@example.com</t>
        </is>
      </c>
      <c r="S430">
        <f>+919817302608</f>
        <v/>
      </c>
      <c r="T430" t="inlineStr">
        <is>
          <t>[]</t>
        </is>
      </c>
      <c r="W430" t="inlineStr">
        <is>
          <t>BAD_REQUEST_ERROR</t>
        </is>
      </c>
      <c r="X430" t="inlineStr">
        <is>
          <t>Payment failed due to incorrect OTP</t>
        </is>
      </c>
      <c r="Y430" s="1" t="n">
        <v>46144.29061342592</v>
      </c>
    </row>
    <row r="431">
      <c r="A431" t="inlineStr">
        <is>
          <t>pay_rHuyd263OE4OB5</t>
        </is>
      </c>
      <c r="B431" t="n">
        <v>2499</v>
      </c>
      <c r="C431" t="inlineStr">
        <is>
          <t>INR</t>
        </is>
      </c>
      <c r="D431" t="inlineStr">
        <is>
          <t>captured</t>
        </is>
      </c>
      <c r="E431" t="inlineStr">
        <is>
          <t>order_gsE1KCM5xlHipO</t>
        </is>
      </c>
      <c r="G431" t="n">
        <v>0</v>
      </c>
      <c r="H431" t="inlineStr">
        <is>
          <t>card</t>
        </is>
      </c>
      <c r="I431" t="n">
        <v>0</v>
      </c>
      <c r="J431" t="n">
        <v>0</v>
      </c>
      <c r="L431" t="n">
        <v>1</v>
      </c>
      <c r="R431" t="inlineStr">
        <is>
          <t>customer860@example.com</t>
        </is>
      </c>
      <c r="S431">
        <f>+919822411449</f>
        <v/>
      </c>
      <c r="T431" t="inlineStr">
        <is>
          <t>[]</t>
        </is>
      </c>
      <c r="U431" t="n">
        <v>49.98</v>
      </c>
      <c r="V431" t="n">
        <v>9</v>
      </c>
      <c r="Y431" s="1" t="n">
        <v>46144.29086805556</v>
      </c>
    </row>
    <row r="432">
      <c r="A432" t="inlineStr">
        <is>
          <t>pay_c2MycSHnHe60T9</t>
        </is>
      </c>
      <c r="B432" t="n">
        <v>1799</v>
      </c>
      <c r="C432" t="inlineStr">
        <is>
          <t>INR</t>
        </is>
      </c>
      <c r="D432" t="inlineStr">
        <is>
          <t>failed</t>
        </is>
      </c>
      <c r="E432" t="inlineStr">
        <is>
          <t>order_Y9ou3RgLsXgSyj</t>
        </is>
      </c>
      <c r="G432" t="n">
        <v>0</v>
      </c>
      <c r="H432" t="inlineStr">
        <is>
          <t>upi</t>
        </is>
      </c>
      <c r="I432" t="n">
        <v>0</v>
      </c>
      <c r="J432" t="n">
        <v>0</v>
      </c>
      <c r="L432" t="n">
        <v>0</v>
      </c>
      <c r="R432" t="inlineStr">
        <is>
          <t>customer183@example.com</t>
        </is>
      </c>
      <c r="S432">
        <f>+919874985362</f>
        <v/>
      </c>
      <c r="T432" t="inlineStr">
        <is>
          <t>[]</t>
        </is>
      </c>
      <c r="W432" t="inlineStr">
        <is>
          <t>BAD_REQUEST_ERROR</t>
        </is>
      </c>
      <c r="X432" t="inlineStr">
        <is>
          <t>UPI app declined the request</t>
        </is>
      </c>
      <c r="Y432" s="1" t="n">
        <v>46152.63112268518</v>
      </c>
    </row>
    <row r="433">
      <c r="A433" t="inlineStr">
        <is>
          <t>pay_XnLZhH5zNVwgRb</t>
        </is>
      </c>
      <c r="B433" t="n">
        <v>1799</v>
      </c>
      <c r="C433" t="inlineStr">
        <is>
          <t>INR</t>
        </is>
      </c>
      <c r="D433" t="inlineStr">
        <is>
          <t>captured</t>
        </is>
      </c>
      <c r="E433" t="inlineStr">
        <is>
          <t>order_gEIHrnsp7km8hc</t>
        </is>
      </c>
      <c r="G433" t="n">
        <v>0</v>
      </c>
      <c r="H433" t="inlineStr">
        <is>
          <t>upi</t>
        </is>
      </c>
      <c r="I433" t="n">
        <v>0</v>
      </c>
      <c r="J433" t="n">
        <v>0</v>
      </c>
      <c r="L433" t="n">
        <v>1</v>
      </c>
      <c r="R433" t="inlineStr">
        <is>
          <t>customer524@example.com</t>
        </is>
      </c>
      <c r="S433">
        <f>+919874634501</f>
        <v/>
      </c>
      <c r="T433" t="inlineStr">
        <is>
          <t>[]</t>
        </is>
      </c>
      <c r="U433" t="n">
        <v>35.98</v>
      </c>
      <c r="V433" t="n">
        <v>6.48</v>
      </c>
      <c r="Y433" s="1" t="n">
        <v>46143.97858796296</v>
      </c>
    </row>
    <row r="434">
      <c r="A434" t="inlineStr">
        <is>
          <t>pay_rmuzLZjA2KZv6x</t>
        </is>
      </c>
      <c r="B434" t="n">
        <v>1499</v>
      </c>
      <c r="C434" t="inlineStr">
        <is>
          <t>INR</t>
        </is>
      </c>
      <c r="D434" t="inlineStr">
        <is>
          <t>failed</t>
        </is>
      </c>
      <c r="E434" t="inlineStr">
        <is>
          <t>order_iHBOfrHVPb6yN9</t>
        </is>
      </c>
      <c r="G434" t="n">
        <v>0</v>
      </c>
      <c r="H434" t="inlineStr">
        <is>
          <t>netbanking</t>
        </is>
      </c>
      <c r="I434" t="n">
        <v>0</v>
      </c>
      <c r="J434" t="n">
        <v>0</v>
      </c>
      <c r="L434" t="n">
        <v>0</v>
      </c>
      <c r="R434" t="inlineStr">
        <is>
          <t>customer94@example.com</t>
        </is>
      </c>
      <c r="S434">
        <f>+919883479603</f>
        <v/>
      </c>
      <c r="T434" t="inlineStr">
        <is>
          <t>[]</t>
        </is>
      </c>
      <c r="W434" t="inlineStr">
        <is>
          <t>BAD_REQUEST_ERROR</t>
        </is>
      </c>
      <c r="X434" t="inlineStr">
        <is>
          <t>Bank server unavailable</t>
        </is>
      </c>
      <c r="Y434" s="1" t="n">
        <v>46154.49008101852</v>
      </c>
    </row>
    <row r="435">
      <c r="A435" t="inlineStr">
        <is>
          <t>pay_uZ1jFPWPbItFZf</t>
        </is>
      </c>
      <c r="B435" t="n">
        <v>1499</v>
      </c>
      <c r="C435" t="inlineStr">
        <is>
          <t>INR</t>
        </is>
      </c>
      <c r="D435" t="inlineStr">
        <is>
          <t>captured</t>
        </is>
      </c>
      <c r="E435" t="inlineStr">
        <is>
          <t>order_iHBOfrHVPb6yN9</t>
        </is>
      </c>
      <c r="G435" t="n">
        <v>0</v>
      </c>
      <c r="H435" t="inlineStr">
        <is>
          <t>netbanking</t>
        </is>
      </c>
      <c r="I435" t="n">
        <v>0</v>
      </c>
      <c r="J435" t="n">
        <v>0</v>
      </c>
      <c r="L435" t="n">
        <v>1</v>
      </c>
      <c r="R435" t="inlineStr">
        <is>
          <t>customer371@example.com</t>
        </is>
      </c>
      <c r="S435">
        <f>+919818573136</f>
        <v/>
      </c>
      <c r="T435" t="inlineStr">
        <is>
          <t>[]</t>
        </is>
      </c>
      <c r="U435" t="n">
        <v>29.98</v>
      </c>
      <c r="V435" t="n">
        <v>5.4</v>
      </c>
      <c r="Y435" s="1" t="n">
        <v>46154.49515046296</v>
      </c>
    </row>
    <row r="436">
      <c r="A436" t="inlineStr">
        <is>
          <t>pay_mgmjUeABug5XBE</t>
        </is>
      </c>
      <c r="B436" t="n">
        <v>2499</v>
      </c>
      <c r="C436" t="inlineStr">
        <is>
          <t>INR</t>
        </is>
      </c>
      <c r="D436" t="inlineStr">
        <is>
          <t>captured</t>
        </is>
      </c>
      <c r="E436" t="inlineStr">
        <is>
          <t>order_JMRtONRpNHA45E</t>
        </is>
      </c>
      <c r="G436" t="n">
        <v>0</v>
      </c>
      <c r="H436" t="inlineStr">
        <is>
          <t>card</t>
        </is>
      </c>
      <c r="I436" t="n">
        <v>0</v>
      </c>
      <c r="J436" t="n">
        <v>0</v>
      </c>
      <c r="L436" t="n">
        <v>1</v>
      </c>
      <c r="R436" t="inlineStr">
        <is>
          <t>customer805@example.com</t>
        </is>
      </c>
      <c r="S436">
        <f>+919864346185</f>
        <v/>
      </c>
      <c r="T436" t="inlineStr">
        <is>
          <t>[]</t>
        </is>
      </c>
      <c r="U436" t="n">
        <v>49.98</v>
      </c>
      <c r="V436" t="n">
        <v>9</v>
      </c>
      <c r="Y436" s="1" t="n">
        <v>46154.70060185185</v>
      </c>
    </row>
    <row r="437">
      <c r="A437" t="inlineStr">
        <is>
          <t>pay_M8r08jNELw526R</t>
        </is>
      </c>
      <c r="B437" t="n">
        <v>3999</v>
      </c>
      <c r="C437" t="inlineStr">
        <is>
          <t>INR</t>
        </is>
      </c>
      <c r="D437" t="inlineStr">
        <is>
          <t>captured</t>
        </is>
      </c>
      <c r="E437" t="inlineStr">
        <is>
          <t>order_S2EL9Q5xevEm0V</t>
        </is>
      </c>
      <c r="G437" t="n">
        <v>0</v>
      </c>
      <c r="H437" t="inlineStr">
        <is>
          <t>upi</t>
        </is>
      </c>
      <c r="I437" t="n">
        <v>0</v>
      </c>
      <c r="J437" t="n">
        <v>0</v>
      </c>
      <c r="L437" t="n">
        <v>1</v>
      </c>
      <c r="R437" t="inlineStr">
        <is>
          <t>customer216@example.com</t>
        </is>
      </c>
      <c r="S437">
        <f>+919856422087</f>
        <v/>
      </c>
      <c r="T437" t="inlineStr">
        <is>
          <t>[]</t>
        </is>
      </c>
      <c r="U437" t="n">
        <v>79.98</v>
      </c>
      <c r="V437" t="n">
        <v>14.4</v>
      </c>
      <c r="Y437" s="1" t="n">
        <v>46170.10828703704</v>
      </c>
    </row>
    <row r="438">
      <c r="A438" t="inlineStr">
        <is>
          <t>pay_YO1nONtNNhO1py</t>
        </is>
      </c>
      <c r="B438" t="n">
        <v>2499</v>
      </c>
      <c r="C438" t="inlineStr">
        <is>
          <t>INR</t>
        </is>
      </c>
      <c r="D438" t="inlineStr">
        <is>
          <t>captured</t>
        </is>
      </c>
      <c r="E438" t="inlineStr">
        <is>
          <t>order_b0TVQFSGMNHFfq</t>
        </is>
      </c>
      <c r="G438" t="n">
        <v>0</v>
      </c>
      <c r="H438" t="inlineStr">
        <is>
          <t>upi</t>
        </is>
      </c>
      <c r="I438" t="n">
        <v>0</v>
      </c>
      <c r="J438" t="n">
        <v>0</v>
      </c>
      <c r="L438" t="n">
        <v>1</v>
      </c>
      <c r="R438" t="inlineStr">
        <is>
          <t>customer472@example.com</t>
        </is>
      </c>
      <c r="S438">
        <f>+919872144979</f>
        <v/>
      </c>
      <c r="T438" t="inlineStr">
        <is>
          <t>[]</t>
        </is>
      </c>
      <c r="U438" t="n">
        <v>49.98</v>
      </c>
      <c r="V438" t="n">
        <v>9</v>
      </c>
      <c r="Y438" s="1" t="n">
        <v>46148.51143518519</v>
      </c>
    </row>
    <row r="439">
      <c r="A439" t="inlineStr">
        <is>
          <t>pay_JkEVf6UwfQA9DM</t>
        </is>
      </c>
      <c r="B439" t="n">
        <v>1499</v>
      </c>
      <c r="C439" t="inlineStr">
        <is>
          <t>INR</t>
        </is>
      </c>
      <c r="D439" t="inlineStr">
        <is>
          <t>captured</t>
        </is>
      </c>
      <c r="E439" t="inlineStr">
        <is>
          <t>order_ejYRJGwW8fqVQW</t>
        </is>
      </c>
      <c r="G439" t="n">
        <v>0</v>
      </c>
      <c r="H439" t="inlineStr">
        <is>
          <t>upi</t>
        </is>
      </c>
      <c r="I439" t="n">
        <v>0</v>
      </c>
      <c r="J439" t="n">
        <v>0</v>
      </c>
      <c r="L439" t="n">
        <v>1</v>
      </c>
      <c r="R439" t="inlineStr">
        <is>
          <t>customer347@example.com</t>
        </is>
      </c>
      <c r="S439">
        <f>+919825599615</f>
        <v/>
      </c>
      <c r="T439" t="inlineStr">
        <is>
          <t>[]</t>
        </is>
      </c>
      <c r="U439" t="n">
        <v>29.98</v>
      </c>
      <c r="V439" t="n">
        <v>5.4</v>
      </c>
      <c r="Y439" s="1" t="n">
        <v>46162.5697337963</v>
      </c>
    </row>
    <row r="440">
      <c r="A440" t="inlineStr">
        <is>
          <t>pay_ckwKJQZc01RKj6</t>
        </is>
      </c>
      <c r="B440" t="n">
        <v>499</v>
      </c>
      <c r="C440" t="inlineStr">
        <is>
          <t>INR</t>
        </is>
      </c>
      <c r="D440" t="inlineStr">
        <is>
          <t>captured</t>
        </is>
      </c>
      <c r="E440" t="inlineStr">
        <is>
          <t>order_F6Ip7GCYSvheIj</t>
        </is>
      </c>
      <c r="G440" t="n">
        <v>0</v>
      </c>
      <c r="H440" t="inlineStr">
        <is>
          <t>upi</t>
        </is>
      </c>
      <c r="I440" t="n">
        <v>0</v>
      </c>
      <c r="J440" t="n">
        <v>0</v>
      </c>
      <c r="L440" t="n">
        <v>1</v>
      </c>
      <c r="R440" t="inlineStr">
        <is>
          <t>customer863@example.com</t>
        </is>
      </c>
      <c r="S440">
        <f>+919812656190</f>
        <v/>
      </c>
      <c r="T440" t="inlineStr">
        <is>
          <t>[]</t>
        </is>
      </c>
      <c r="U440" t="n">
        <v>9.98</v>
      </c>
      <c r="V440" t="n">
        <v>1.8</v>
      </c>
      <c r="Y440" s="1" t="n">
        <v>46150.17899305555</v>
      </c>
    </row>
    <row r="441">
      <c r="A441" t="inlineStr">
        <is>
          <t>pay_445ZZgC0dARffp</t>
        </is>
      </c>
      <c r="B441" t="n">
        <v>999</v>
      </c>
      <c r="C441" t="inlineStr">
        <is>
          <t>INR</t>
        </is>
      </c>
      <c r="D441" t="inlineStr">
        <is>
          <t>captured</t>
        </is>
      </c>
      <c r="E441" t="inlineStr">
        <is>
          <t>order_mZPIet633wOpNH</t>
        </is>
      </c>
      <c r="G441" t="n">
        <v>0</v>
      </c>
      <c r="H441" t="inlineStr">
        <is>
          <t>upi</t>
        </is>
      </c>
      <c r="I441" t="n">
        <v>0</v>
      </c>
      <c r="J441" t="n">
        <v>0</v>
      </c>
      <c r="L441" t="n">
        <v>1</v>
      </c>
      <c r="R441" t="inlineStr">
        <is>
          <t>customer746@example.com</t>
        </is>
      </c>
      <c r="S441">
        <f>+919890318686</f>
        <v/>
      </c>
      <c r="T441" t="inlineStr">
        <is>
          <t>[]</t>
        </is>
      </c>
      <c r="U441" t="n">
        <v>19.98</v>
      </c>
      <c r="V441" t="n">
        <v>3.6</v>
      </c>
      <c r="Y441" s="1" t="n">
        <v>46151.33186342593</v>
      </c>
    </row>
    <row r="442">
      <c r="A442" t="inlineStr">
        <is>
          <t>pay_yyCZbsRgXv2oV1</t>
        </is>
      </c>
      <c r="B442" t="n">
        <v>3999</v>
      </c>
      <c r="C442" t="inlineStr">
        <is>
          <t>INR</t>
        </is>
      </c>
      <c r="D442" t="inlineStr">
        <is>
          <t>captured</t>
        </is>
      </c>
      <c r="E442" t="inlineStr">
        <is>
          <t>order_v8AP93C0c8Yv9c</t>
        </is>
      </c>
      <c r="G442" t="n">
        <v>0</v>
      </c>
      <c r="H442" t="inlineStr">
        <is>
          <t>netbanking</t>
        </is>
      </c>
      <c r="I442" t="n">
        <v>0</v>
      </c>
      <c r="J442" t="n">
        <v>0</v>
      </c>
      <c r="L442" t="n">
        <v>1</v>
      </c>
      <c r="R442" t="inlineStr">
        <is>
          <t>customer334@example.com</t>
        </is>
      </c>
      <c r="S442">
        <f>+919877270343</f>
        <v/>
      </c>
      <c r="T442" t="inlineStr">
        <is>
          <t>[]</t>
        </is>
      </c>
      <c r="U442" t="n">
        <v>79.98</v>
      </c>
      <c r="V442" t="n">
        <v>14.4</v>
      </c>
      <c r="Y442" s="1" t="n">
        <v>46172.65038194445</v>
      </c>
    </row>
    <row r="443">
      <c r="A443" t="inlineStr">
        <is>
          <t>pay_TFlCDN4TCk2CYn</t>
        </is>
      </c>
      <c r="B443" t="n">
        <v>3999</v>
      </c>
      <c r="C443" t="inlineStr">
        <is>
          <t>INR</t>
        </is>
      </c>
      <c r="D443" t="inlineStr">
        <is>
          <t>captured</t>
        </is>
      </c>
      <c r="E443" t="inlineStr">
        <is>
          <t>order_2K33CDcAmnLd8l</t>
        </is>
      </c>
      <c r="G443" t="n">
        <v>0</v>
      </c>
      <c r="H443" t="inlineStr">
        <is>
          <t>netbanking</t>
        </is>
      </c>
      <c r="I443" t="n">
        <v>0</v>
      </c>
      <c r="J443" t="n">
        <v>0</v>
      </c>
      <c r="L443" t="n">
        <v>1</v>
      </c>
      <c r="R443" t="inlineStr">
        <is>
          <t>customer770@example.com</t>
        </is>
      </c>
      <c r="S443">
        <f>+919881049646</f>
        <v/>
      </c>
      <c r="T443" t="inlineStr">
        <is>
          <t>[]</t>
        </is>
      </c>
      <c r="U443" t="n">
        <v>79.98</v>
      </c>
      <c r="V443" t="n">
        <v>14.4</v>
      </c>
      <c r="Y443" s="1" t="n">
        <v>46170.42284722222</v>
      </c>
    </row>
    <row r="444">
      <c r="A444" t="inlineStr">
        <is>
          <t>pay_hhSWj9jsppLaXY</t>
        </is>
      </c>
      <c r="B444" t="n">
        <v>999</v>
      </c>
      <c r="C444" t="inlineStr">
        <is>
          <t>INR</t>
        </is>
      </c>
      <c r="D444" t="inlineStr">
        <is>
          <t>captured</t>
        </is>
      </c>
      <c r="E444" t="inlineStr">
        <is>
          <t>order_iiIGMQe86qkXfN</t>
        </is>
      </c>
      <c r="G444" t="n">
        <v>0</v>
      </c>
      <c r="H444" t="inlineStr">
        <is>
          <t>upi</t>
        </is>
      </c>
      <c r="I444" t="n">
        <v>0</v>
      </c>
      <c r="J444" t="n">
        <v>0</v>
      </c>
      <c r="L444" t="n">
        <v>1</v>
      </c>
      <c r="R444" t="inlineStr">
        <is>
          <t>customer19@example.com</t>
        </is>
      </c>
      <c r="S444">
        <f>+919897023459</f>
        <v/>
      </c>
      <c r="T444" t="inlineStr">
        <is>
          <t>[]</t>
        </is>
      </c>
      <c r="U444" t="n">
        <v>19.98</v>
      </c>
      <c r="V444" t="n">
        <v>3.6</v>
      </c>
      <c r="Y444" s="1" t="n">
        <v>46161.46466435185</v>
      </c>
    </row>
    <row r="445">
      <c r="A445" t="inlineStr">
        <is>
          <t>pay_A2lGmhL3z4uQ1l</t>
        </is>
      </c>
      <c r="B445" t="n">
        <v>1799</v>
      </c>
      <c r="C445" t="inlineStr">
        <is>
          <t>INR</t>
        </is>
      </c>
      <c r="D445" t="inlineStr">
        <is>
          <t>captured</t>
        </is>
      </c>
      <c r="E445" t="inlineStr">
        <is>
          <t>order_S6a46wzABK79aR</t>
        </is>
      </c>
      <c r="G445" t="n">
        <v>0</v>
      </c>
      <c r="H445" t="inlineStr">
        <is>
          <t>upi</t>
        </is>
      </c>
      <c r="I445" t="n">
        <v>0</v>
      </c>
      <c r="J445" t="n">
        <v>0</v>
      </c>
      <c r="L445" t="n">
        <v>1</v>
      </c>
      <c r="R445" t="inlineStr">
        <is>
          <t>customer748@example.com</t>
        </is>
      </c>
      <c r="S445">
        <f>+919893187954</f>
        <v/>
      </c>
      <c r="T445" t="inlineStr">
        <is>
          <t>[]</t>
        </is>
      </c>
      <c r="U445" t="n">
        <v>35.98</v>
      </c>
      <c r="V445" t="n">
        <v>6.48</v>
      </c>
      <c r="Y445" s="1" t="n">
        <v>46149.43792824074</v>
      </c>
    </row>
    <row r="446">
      <c r="A446" t="inlineStr">
        <is>
          <t>pay_tDkiyBkQ986s7l</t>
        </is>
      </c>
      <c r="B446" t="n">
        <v>499</v>
      </c>
      <c r="C446" t="inlineStr">
        <is>
          <t>INR</t>
        </is>
      </c>
      <c r="D446" t="inlineStr">
        <is>
          <t>captured</t>
        </is>
      </c>
      <c r="E446" t="inlineStr">
        <is>
          <t>order_xkrBT77vpdxxhp</t>
        </is>
      </c>
      <c r="G446" t="n">
        <v>0</v>
      </c>
      <c r="H446" t="inlineStr">
        <is>
          <t>upi</t>
        </is>
      </c>
      <c r="I446" t="n">
        <v>0</v>
      </c>
      <c r="J446" t="n">
        <v>0</v>
      </c>
      <c r="L446" t="n">
        <v>1</v>
      </c>
      <c r="R446" t="inlineStr">
        <is>
          <t>customer1@example.com</t>
        </is>
      </c>
      <c r="S446">
        <f>+919871645468</f>
        <v/>
      </c>
      <c r="T446" t="inlineStr">
        <is>
          <t>[]</t>
        </is>
      </c>
      <c r="U446" t="n">
        <v>9.98</v>
      </c>
      <c r="V446" t="n">
        <v>1.8</v>
      </c>
      <c r="Y446" s="1" t="n">
        <v>46168.15854166666</v>
      </c>
    </row>
    <row r="447">
      <c r="A447" t="inlineStr">
        <is>
          <t>pay_RRAmlffrIeIEse</t>
        </is>
      </c>
      <c r="B447" t="n">
        <v>2499</v>
      </c>
      <c r="C447" t="inlineStr">
        <is>
          <t>INR</t>
        </is>
      </c>
      <c r="D447" t="inlineStr">
        <is>
          <t>failed</t>
        </is>
      </c>
      <c r="E447" t="inlineStr">
        <is>
          <t>order_x9eV20Q5sg1fkm</t>
        </is>
      </c>
      <c r="G447" t="n">
        <v>0</v>
      </c>
      <c r="H447" t="inlineStr">
        <is>
          <t>upi</t>
        </is>
      </c>
      <c r="I447" t="n">
        <v>0</v>
      </c>
      <c r="J447" t="n">
        <v>0</v>
      </c>
      <c r="L447" t="n">
        <v>0</v>
      </c>
      <c r="R447" t="inlineStr">
        <is>
          <t>customer413@example.com</t>
        </is>
      </c>
      <c r="S447">
        <f>+919831250639</f>
        <v/>
      </c>
      <c r="T447" t="inlineStr">
        <is>
          <t>[]</t>
        </is>
      </c>
      <c r="W447" t="inlineStr">
        <is>
          <t>BAD_REQUEST_ERROR</t>
        </is>
      </c>
      <c r="X447" t="inlineStr">
        <is>
          <t>UPI app declined the request</t>
        </is>
      </c>
      <c r="Y447" s="1" t="n">
        <v>46165.44296296296</v>
      </c>
    </row>
    <row r="448">
      <c r="A448" t="inlineStr">
        <is>
          <t>pay_Z7DYDj8h39JMj7</t>
        </is>
      </c>
      <c r="B448" t="n">
        <v>1499</v>
      </c>
      <c r="C448" t="inlineStr">
        <is>
          <t>INR</t>
        </is>
      </c>
      <c r="D448" t="inlineStr">
        <is>
          <t>captured</t>
        </is>
      </c>
      <c r="E448" t="inlineStr">
        <is>
          <t>order_U6i9Ac4ZuS4JWV</t>
        </is>
      </c>
      <c r="G448" t="n">
        <v>0</v>
      </c>
      <c r="H448" t="inlineStr">
        <is>
          <t>upi</t>
        </is>
      </c>
      <c r="I448" t="n">
        <v>0</v>
      </c>
      <c r="J448" t="n">
        <v>0</v>
      </c>
      <c r="L448" t="n">
        <v>1</v>
      </c>
      <c r="R448" t="inlineStr">
        <is>
          <t>customer753@example.com</t>
        </is>
      </c>
      <c r="S448">
        <f>+919889645663</f>
        <v/>
      </c>
      <c r="T448" t="inlineStr">
        <is>
          <t>[]</t>
        </is>
      </c>
      <c r="U448" t="n">
        <v>29.98</v>
      </c>
      <c r="V448" t="n">
        <v>5.4</v>
      </c>
      <c r="Y448" s="1" t="n">
        <v>46157.66549768519</v>
      </c>
    </row>
    <row r="449">
      <c r="A449" t="inlineStr">
        <is>
          <t>pay_tomRT9Pncb93Hq</t>
        </is>
      </c>
      <c r="B449" t="n">
        <v>999</v>
      </c>
      <c r="C449" t="inlineStr">
        <is>
          <t>INR</t>
        </is>
      </c>
      <c r="D449" t="inlineStr">
        <is>
          <t>captured</t>
        </is>
      </c>
      <c r="E449" t="inlineStr">
        <is>
          <t>order_IU0iVOemVJwyv9</t>
        </is>
      </c>
      <c r="G449" t="n">
        <v>0</v>
      </c>
      <c r="H449" t="inlineStr">
        <is>
          <t>upi</t>
        </is>
      </c>
      <c r="I449" t="n">
        <v>0</v>
      </c>
      <c r="J449" t="n">
        <v>0</v>
      </c>
      <c r="L449" t="n">
        <v>1</v>
      </c>
      <c r="R449" t="inlineStr">
        <is>
          <t>customer793@example.com</t>
        </is>
      </c>
      <c r="S449">
        <f>+919816047140</f>
        <v/>
      </c>
      <c r="T449" t="inlineStr">
        <is>
          <t>[]</t>
        </is>
      </c>
      <c r="U449" t="n">
        <v>19.98</v>
      </c>
      <c r="V449" t="n">
        <v>3.6</v>
      </c>
      <c r="Y449" s="1" t="n">
        <v>46164.9716550926</v>
      </c>
    </row>
    <row r="450">
      <c r="A450" t="inlineStr">
        <is>
          <t>pay_vDKjkNJEGv9sGs</t>
        </is>
      </c>
      <c r="B450" t="n">
        <v>3999</v>
      </c>
      <c r="C450" t="inlineStr">
        <is>
          <t>INR</t>
        </is>
      </c>
      <c r="D450" t="inlineStr">
        <is>
          <t>captured</t>
        </is>
      </c>
      <c r="E450" t="inlineStr">
        <is>
          <t>order_jTNIhE4S5Wey0S</t>
        </is>
      </c>
      <c r="G450" t="n">
        <v>0</v>
      </c>
      <c r="H450" t="inlineStr">
        <is>
          <t>upi</t>
        </is>
      </c>
      <c r="I450" t="n">
        <v>0</v>
      </c>
      <c r="J450" t="n">
        <v>0</v>
      </c>
      <c r="L450" t="n">
        <v>1</v>
      </c>
      <c r="R450" t="inlineStr">
        <is>
          <t>customer617@example.com</t>
        </is>
      </c>
      <c r="S450">
        <f>+919833889737</f>
        <v/>
      </c>
      <c r="T450" t="inlineStr">
        <is>
          <t>[]</t>
        </is>
      </c>
      <c r="U450" t="n">
        <v>79.98</v>
      </c>
      <c r="V450" t="n">
        <v>14.4</v>
      </c>
      <c r="Y450" s="1" t="n">
        <v>46152.08123842593</v>
      </c>
    </row>
    <row r="451">
      <c r="A451" t="inlineStr">
        <is>
          <t>pay_gNOnzkMPAhN6Zj</t>
        </is>
      </c>
      <c r="B451" t="n">
        <v>2499</v>
      </c>
      <c r="C451" t="inlineStr">
        <is>
          <t>INR</t>
        </is>
      </c>
      <c r="D451" t="inlineStr">
        <is>
          <t>failed</t>
        </is>
      </c>
      <c r="E451" t="inlineStr">
        <is>
          <t>order_8Os6vHrgV0W9wa</t>
        </is>
      </c>
      <c r="G451" t="n">
        <v>0</v>
      </c>
      <c r="H451" t="inlineStr">
        <is>
          <t>upi</t>
        </is>
      </c>
      <c r="I451" t="n">
        <v>0</v>
      </c>
      <c r="J451" t="n">
        <v>0</v>
      </c>
      <c r="L451" t="n">
        <v>0</v>
      </c>
      <c r="R451" t="inlineStr">
        <is>
          <t>customer295@example.com</t>
        </is>
      </c>
      <c r="S451">
        <f>+919888021358</f>
        <v/>
      </c>
      <c r="T451" t="inlineStr">
        <is>
          <t>[]</t>
        </is>
      </c>
      <c r="W451" t="inlineStr">
        <is>
          <t>BAD_REQUEST_ERROR</t>
        </is>
      </c>
      <c r="X451" t="inlineStr">
        <is>
          <t>Payment was not completed on time</t>
        </is>
      </c>
      <c r="Y451" s="1" t="n">
        <v>46157.8130787037</v>
      </c>
    </row>
    <row r="452">
      <c r="A452" t="inlineStr">
        <is>
          <t>pay_3iaRQWGecOVvVx</t>
        </is>
      </c>
      <c r="B452" t="n">
        <v>999</v>
      </c>
      <c r="C452" t="inlineStr">
        <is>
          <t>INR</t>
        </is>
      </c>
      <c r="D452" t="inlineStr">
        <is>
          <t>captured</t>
        </is>
      </c>
      <c r="E452" t="inlineStr">
        <is>
          <t>order_oPCApy3nxu8WSw</t>
        </is>
      </c>
      <c r="G452" t="n">
        <v>0</v>
      </c>
      <c r="H452" t="inlineStr">
        <is>
          <t>upi</t>
        </is>
      </c>
      <c r="I452" t="n">
        <v>0</v>
      </c>
      <c r="J452" t="n">
        <v>0</v>
      </c>
      <c r="L452" t="n">
        <v>1</v>
      </c>
      <c r="R452" t="inlineStr">
        <is>
          <t>customer468@example.com</t>
        </is>
      </c>
      <c r="S452">
        <f>+919895045517</f>
        <v/>
      </c>
      <c r="T452" t="inlineStr">
        <is>
          <t>[]</t>
        </is>
      </c>
      <c r="U452" t="n">
        <v>19.98</v>
      </c>
      <c r="V452" t="n">
        <v>3.6</v>
      </c>
      <c r="Y452" s="1" t="n">
        <v>46147.42030092593</v>
      </c>
    </row>
    <row r="453">
      <c r="A453" t="inlineStr">
        <is>
          <t>pay_bbcSjM6ucD4fVh</t>
        </is>
      </c>
      <c r="B453" t="n">
        <v>1799</v>
      </c>
      <c r="C453" t="inlineStr">
        <is>
          <t>INR</t>
        </is>
      </c>
      <c r="D453" t="inlineStr">
        <is>
          <t>captured</t>
        </is>
      </c>
      <c r="E453" t="inlineStr">
        <is>
          <t>order_g105UwMNk2eNd7</t>
        </is>
      </c>
      <c r="G453" t="n">
        <v>0</v>
      </c>
      <c r="H453" t="inlineStr">
        <is>
          <t>netbanking</t>
        </is>
      </c>
      <c r="I453" t="n">
        <v>0</v>
      </c>
      <c r="J453" t="n">
        <v>0</v>
      </c>
      <c r="L453" t="n">
        <v>1</v>
      </c>
      <c r="R453" t="inlineStr">
        <is>
          <t>customer249@example.com</t>
        </is>
      </c>
      <c r="S453">
        <f>+919860229059</f>
        <v/>
      </c>
      <c r="T453" t="inlineStr">
        <is>
          <t>[]</t>
        </is>
      </c>
      <c r="U453" t="n">
        <v>35.98</v>
      </c>
      <c r="V453" t="n">
        <v>6.48</v>
      </c>
      <c r="Y453" s="1" t="n">
        <v>46149.72967592593</v>
      </c>
    </row>
    <row r="454">
      <c r="A454" t="inlineStr">
        <is>
          <t>pay_4bSeHkedA8jBsw</t>
        </is>
      </c>
      <c r="B454" t="n">
        <v>999</v>
      </c>
      <c r="C454" t="inlineStr">
        <is>
          <t>INR</t>
        </is>
      </c>
      <c r="D454" t="inlineStr">
        <is>
          <t>captured</t>
        </is>
      </c>
      <c r="E454" t="inlineStr">
        <is>
          <t>order_fvAN76hRheg3RG</t>
        </is>
      </c>
      <c r="G454" t="n">
        <v>0</v>
      </c>
      <c r="H454" t="inlineStr">
        <is>
          <t>upi</t>
        </is>
      </c>
      <c r="I454" t="n">
        <v>0</v>
      </c>
      <c r="J454" t="n">
        <v>0</v>
      </c>
      <c r="L454" t="n">
        <v>1</v>
      </c>
      <c r="R454" t="inlineStr">
        <is>
          <t>customer225@example.com</t>
        </is>
      </c>
      <c r="S454">
        <f>+919863226807</f>
        <v/>
      </c>
      <c r="T454" t="inlineStr">
        <is>
          <t>[]</t>
        </is>
      </c>
      <c r="U454" t="n">
        <v>19.98</v>
      </c>
      <c r="V454" t="n">
        <v>3.6</v>
      </c>
      <c r="Y454" s="1" t="n">
        <v>46172.68322916667</v>
      </c>
    </row>
    <row r="455">
      <c r="A455" t="inlineStr">
        <is>
          <t>pay_Y4opYUA98Kxfay</t>
        </is>
      </c>
      <c r="B455" t="n">
        <v>499</v>
      </c>
      <c r="C455" t="inlineStr">
        <is>
          <t>INR</t>
        </is>
      </c>
      <c r="D455" t="inlineStr">
        <is>
          <t>captured</t>
        </is>
      </c>
      <c r="E455" t="inlineStr">
        <is>
          <t>order_8RSH4P4CPIwu3Q</t>
        </is>
      </c>
      <c r="G455" t="n">
        <v>0</v>
      </c>
      <c r="H455" t="inlineStr">
        <is>
          <t>netbanking</t>
        </is>
      </c>
      <c r="I455" t="n">
        <v>0</v>
      </c>
      <c r="J455" t="n">
        <v>0</v>
      </c>
      <c r="L455" t="n">
        <v>1</v>
      </c>
      <c r="R455" t="inlineStr">
        <is>
          <t>customer443@example.com</t>
        </is>
      </c>
      <c r="S455">
        <f>+919821421044</f>
        <v/>
      </c>
      <c r="T455" t="inlineStr">
        <is>
          <t>[]</t>
        </is>
      </c>
      <c r="U455" t="n">
        <v>9.98</v>
      </c>
      <c r="V455" t="n">
        <v>1.8</v>
      </c>
      <c r="Y455" s="1" t="n">
        <v>46149.79650462963</v>
      </c>
    </row>
    <row r="456">
      <c r="A456" t="inlineStr">
        <is>
          <t>pay_ThYRNo1jINrTcN</t>
        </is>
      </c>
      <c r="B456" t="n">
        <v>1799</v>
      </c>
      <c r="C456" t="inlineStr">
        <is>
          <t>INR</t>
        </is>
      </c>
      <c r="D456" t="inlineStr">
        <is>
          <t>captured</t>
        </is>
      </c>
      <c r="E456" t="inlineStr">
        <is>
          <t>order_dNTNCg1hD5ijsM</t>
        </is>
      </c>
      <c r="G456" t="n">
        <v>0</v>
      </c>
      <c r="H456" t="inlineStr">
        <is>
          <t>upi</t>
        </is>
      </c>
      <c r="I456" t="n">
        <v>0</v>
      </c>
      <c r="J456" t="n">
        <v>0</v>
      </c>
      <c r="L456" t="n">
        <v>1</v>
      </c>
      <c r="R456" t="inlineStr">
        <is>
          <t>customer294@example.com</t>
        </is>
      </c>
      <c r="S456">
        <f>+919894024742</f>
        <v/>
      </c>
      <c r="T456" t="inlineStr">
        <is>
          <t>[]</t>
        </is>
      </c>
      <c r="U456" t="n">
        <v>35.98</v>
      </c>
      <c r="V456" t="n">
        <v>6.48</v>
      </c>
      <c r="Y456" s="1" t="n">
        <v>46153.88748842593</v>
      </c>
    </row>
    <row r="457">
      <c r="A457" t="inlineStr">
        <is>
          <t>pay_mMEQYQkSofsxFh</t>
        </is>
      </c>
      <c r="B457" t="n">
        <v>499</v>
      </c>
      <c r="C457" t="inlineStr">
        <is>
          <t>INR</t>
        </is>
      </c>
      <c r="D457" t="inlineStr">
        <is>
          <t>captured</t>
        </is>
      </c>
      <c r="E457" t="inlineStr">
        <is>
          <t>order_trjN9F6qhrYuv2</t>
        </is>
      </c>
      <c r="G457" t="n">
        <v>0</v>
      </c>
      <c r="H457" t="inlineStr">
        <is>
          <t>upi</t>
        </is>
      </c>
      <c r="I457" t="n">
        <v>0</v>
      </c>
      <c r="J457" t="n">
        <v>0</v>
      </c>
      <c r="L457" t="n">
        <v>1</v>
      </c>
      <c r="R457" t="inlineStr">
        <is>
          <t>customer650@example.com</t>
        </is>
      </c>
      <c r="S457">
        <f>+919894625671</f>
        <v/>
      </c>
      <c r="T457" t="inlineStr">
        <is>
          <t>[]</t>
        </is>
      </c>
      <c r="U457" t="n">
        <v>9.98</v>
      </c>
      <c r="V457" t="n">
        <v>1.8</v>
      </c>
      <c r="Y457" s="1" t="n">
        <v>46152.21479166667</v>
      </c>
    </row>
    <row r="458">
      <c r="A458" t="inlineStr">
        <is>
          <t>pay_Z1J1pLNa9qGXDh</t>
        </is>
      </c>
      <c r="B458" t="n">
        <v>499</v>
      </c>
      <c r="C458" t="inlineStr">
        <is>
          <t>INR</t>
        </is>
      </c>
      <c r="D458" t="inlineStr">
        <is>
          <t>captured</t>
        </is>
      </c>
      <c r="E458" t="inlineStr">
        <is>
          <t>order_eK9erBANGdk623</t>
        </is>
      </c>
      <c r="G458" t="n">
        <v>0</v>
      </c>
      <c r="H458" t="inlineStr">
        <is>
          <t>netbanking</t>
        </is>
      </c>
      <c r="I458" t="n">
        <v>0</v>
      </c>
      <c r="J458" t="n">
        <v>0</v>
      </c>
      <c r="L458" t="n">
        <v>1</v>
      </c>
      <c r="R458" t="inlineStr">
        <is>
          <t>customer40@example.com</t>
        </is>
      </c>
      <c r="S458">
        <f>+919888786303</f>
        <v/>
      </c>
      <c r="T458" t="inlineStr">
        <is>
          <t>[]</t>
        </is>
      </c>
      <c r="U458" t="n">
        <v>9.98</v>
      </c>
      <c r="V458" t="n">
        <v>1.8</v>
      </c>
      <c r="Y458" s="1" t="n">
        <v>46161.47836805556</v>
      </c>
    </row>
    <row r="459">
      <c r="A459" t="inlineStr">
        <is>
          <t>pay_qvgimXSRWm8GqX</t>
        </is>
      </c>
      <c r="B459" t="n">
        <v>1499</v>
      </c>
      <c r="C459" t="inlineStr">
        <is>
          <t>INR</t>
        </is>
      </c>
      <c r="D459" t="inlineStr">
        <is>
          <t>failed</t>
        </is>
      </c>
      <c r="E459" t="inlineStr">
        <is>
          <t>order_JHP8OnoEPXqlfV</t>
        </is>
      </c>
      <c r="G459" t="n">
        <v>0</v>
      </c>
      <c r="H459" t="inlineStr">
        <is>
          <t>netbanking</t>
        </is>
      </c>
      <c r="I459" t="n">
        <v>0</v>
      </c>
      <c r="J459" t="n">
        <v>0</v>
      </c>
      <c r="L459" t="n">
        <v>0</v>
      </c>
      <c r="R459" t="inlineStr">
        <is>
          <t>customer255@example.com</t>
        </is>
      </c>
      <c r="S459">
        <f>+919875083081</f>
        <v/>
      </c>
      <c r="T459" t="inlineStr">
        <is>
          <t>[]</t>
        </is>
      </c>
      <c r="W459" t="inlineStr">
        <is>
          <t>BAD_REQUEST_ERROR</t>
        </is>
      </c>
      <c r="X459" t="inlineStr">
        <is>
          <t>Bank server unavailable</t>
        </is>
      </c>
      <c r="Y459" s="1" t="n">
        <v>46153.98833333333</v>
      </c>
    </row>
    <row r="460">
      <c r="A460" t="inlineStr">
        <is>
          <t>pay_u7KHr3Mrtsu6JM</t>
        </is>
      </c>
      <c r="B460" t="n">
        <v>1499</v>
      </c>
      <c r="C460" t="inlineStr">
        <is>
          <t>INR</t>
        </is>
      </c>
      <c r="D460" t="inlineStr">
        <is>
          <t>failed</t>
        </is>
      </c>
      <c r="E460" t="inlineStr">
        <is>
          <t>order_JHP8OnoEPXqlfV</t>
        </is>
      </c>
      <c r="G460" t="n">
        <v>0</v>
      </c>
      <c r="H460" t="inlineStr">
        <is>
          <t>upi</t>
        </is>
      </c>
      <c r="I460" t="n">
        <v>0</v>
      </c>
      <c r="J460" t="n">
        <v>0</v>
      </c>
      <c r="L460" t="n">
        <v>0</v>
      </c>
      <c r="R460" t="inlineStr">
        <is>
          <t>customer762@example.com</t>
        </is>
      </c>
      <c r="S460">
        <f>+919818400042</f>
        <v/>
      </c>
      <c r="T460" t="inlineStr">
        <is>
          <t>[]</t>
        </is>
      </c>
      <c r="W460" t="inlineStr">
        <is>
          <t>BAD_REQUEST_ERROR</t>
        </is>
      </c>
      <c r="X460" t="inlineStr">
        <is>
          <t>UPI app declined the request</t>
        </is>
      </c>
      <c r="Y460" s="1" t="n">
        <v>46153.99516203703</v>
      </c>
    </row>
    <row r="461">
      <c r="A461" t="inlineStr">
        <is>
          <t>pay_4eU3C2L4UjFKw6</t>
        </is>
      </c>
      <c r="B461" t="n">
        <v>1499</v>
      </c>
      <c r="C461" t="inlineStr">
        <is>
          <t>INR</t>
        </is>
      </c>
      <c r="D461" t="inlineStr">
        <is>
          <t>failed</t>
        </is>
      </c>
      <c r="E461" t="inlineStr">
        <is>
          <t>order_bxi9MLaa0K93Qv</t>
        </is>
      </c>
      <c r="G461" t="n">
        <v>0</v>
      </c>
      <c r="H461" t="inlineStr">
        <is>
          <t>upi</t>
        </is>
      </c>
      <c r="I461" t="n">
        <v>0</v>
      </c>
      <c r="J461" t="n">
        <v>0</v>
      </c>
      <c r="L461" t="n">
        <v>0</v>
      </c>
      <c r="R461" t="inlineStr">
        <is>
          <t>customer837@example.com</t>
        </is>
      </c>
      <c r="S461">
        <f>+919835843193</f>
        <v/>
      </c>
      <c r="T461" t="inlineStr">
        <is>
          <t>[]</t>
        </is>
      </c>
      <c r="W461" t="inlineStr">
        <is>
          <t>BAD_REQUEST_ERROR</t>
        </is>
      </c>
      <c r="X461" t="inlineStr">
        <is>
          <t>UPI app declined the request</t>
        </is>
      </c>
      <c r="Y461" s="1" t="n">
        <v>46169.30626157407</v>
      </c>
    </row>
    <row r="462">
      <c r="A462" t="inlineStr">
        <is>
          <t>pay_2JnLTe2sjvFK9M</t>
        </is>
      </c>
      <c r="B462" t="n">
        <v>1499</v>
      </c>
      <c r="C462" t="inlineStr">
        <is>
          <t>INR</t>
        </is>
      </c>
      <c r="D462" t="inlineStr">
        <is>
          <t>captured</t>
        </is>
      </c>
      <c r="E462" t="inlineStr">
        <is>
          <t>order_bxi9MLaa0K93Qv</t>
        </is>
      </c>
      <c r="G462" t="n">
        <v>0</v>
      </c>
      <c r="H462" t="inlineStr">
        <is>
          <t>upi</t>
        </is>
      </c>
      <c r="I462" t="n">
        <v>0</v>
      </c>
      <c r="J462" t="n">
        <v>0</v>
      </c>
      <c r="L462" t="n">
        <v>1</v>
      </c>
      <c r="R462" t="inlineStr">
        <is>
          <t>customer54@example.com</t>
        </is>
      </c>
      <c r="S462">
        <f>+919864256738</f>
        <v/>
      </c>
      <c r="T462" t="inlineStr">
        <is>
          <t>[]</t>
        </is>
      </c>
      <c r="U462" t="n">
        <v>29.98</v>
      </c>
      <c r="V462" t="n">
        <v>5.4</v>
      </c>
      <c r="Y462" s="1" t="n">
        <v>46169.30739583333</v>
      </c>
    </row>
    <row r="463">
      <c r="A463" t="inlineStr">
        <is>
          <t>pay_V1I2lxlL1DlBkw</t>
        </is>
      </c>
      <c r="B463" t="n">
        <v>1499</v>
      </c>
      <c r="C463" t="inlineStr">
        <is>
          <t>INR</t>
        </is>
      </c>
      <c r="D463" t="inlineStr">
        <is>
          <t>captured</t>
        </is>
      </c>
      <c r="E463" t="inlineStr">
        <is>
          <t>order_7oXx2ZbD68fhbk</t>
        </is>
      </c>
      <c r="G463" t="n">
        <v>0</v>
      </c>
      <c r="H463" t="inlineStr">
        <is>
          <t>upi</t>
        </is>
      </c>
      <c r="I463" t="n">
        <v>0</v>
      </c>
      <c r="J463" t="n">
        <v>0</v>
      </c>
      <c r="L463" t="n">
        <v>1</v>
      </c>
      <c r="R463" t="inlineStr">
        <is>
          <t>customer453@example.com</t>
        </is>
      </c>
      <c r="S463">
        <f>+919897278671</f>
        <v/>
      </c>
      <c r="T463" t="inlineStr">
        <is>
          <t>[]</t>
        </is>
      </c>
      <c r="U463" t="n">
        <v>29.98</v>
      </c>
      <c r="V463" t="n">
        <v>5.4</v>
      </c>
      <c r="Y463" s="1" t="n">
        <v>46159.44825231482</v>
      </c>
    </row>
    <row r="464">
      <c r="A464" t="inlineStr">
        <is>
          <t>pay_NDXo7TMJOb3Emw</t>
        </is>
      </c>
      <c r="B464" t="n">
        <v>499</v>
      </c>
      <c r="C464" t="inlineStr">
        <is>
          <t>INR</t>
        </is>
      </c>
      <c r="D464" t="inlineStr">
        <is>
          <t>captured</t>
        </is>
      </c>
      <c r="E464" t="inlineStr">
        <is>
          <t>order_0mcrHa9zaQ8bjh</t>
        </is>
      </c>
      <c r="G464" t="n">
        <v>0</v>
      </c>
      <c r="H464" t="inlineStr">
        <is>
          <t>upi</t>
        </is>
      </c>
      <c r="I464" t="n">
        <v>0</v>
      </c>
      <c r="J464" t="n">
        <v>0</v>
      </c>
      <c r="L464" t="n">
        <v>1</v>
      </c>
      <c r="R464" t="inlineStr">
        <is>
          <t>customer739@example.com</t>
        </is>
      </c>
      <c r="S464">
        <f>+919890773253</f>
        <v/>
      </c>
      <c r="T464" t="inlineStr">
        <is>
          <t>[]</t>
        </is>
      </c>
      <c r="U464" t="n">
        <v>9.98</v>
      </c>
      <c r="V464" t="n">
        <v>1.8</v>
      </c>
      <c r="Y464" s="1" t="n">
        <v>46165.26570601852</v>
      </c>
    </row>
    <row r="465">
      <c r="A465" t="inlineStr">
        <is>
          <t>pay_8peO7W9HhiDXGa</t>
        </is>
      </c>
      <c r="B465" t="n">
        <v>2499</v>
      </c>
      <c r="C465" t="inlineStr">
        <is>
          <t>INR</t>
        </is>
      </c>
      <c r="D465" t="inlineStr">
        <is>
          <t>captured</t>
        </is>
      </c>
      <c r="E465" t="inlineStr">
        <is>
          <t>order_tfFdDE1iwgNG7R</t>
        </is>
      </c>
      <c r="G465" t="n">
        <v>0</v>
      </c>
      <c r="H465" t="inlineStr">
        <is>
          <t>upi</t>
        </is>
      </c>
      <c r="I465" t="n">
        <v>0</v>
      </c>
      <c r="J465" t="n">
        <v>0</v>
      </c>
      <c r="L465" t="n">
        <v>1</v>
      </c>
      <c r="R465" t="inlineStr">
        <is>
          <t>customer297@example.com</t>
        </is>
      </c>
      <c r="S465">
        <f>+919888737633</f>
        <v/>
      </c>
      <c r="T465" t="inlineStr">
        <is>
          <t>[]</t>
        </is>
      </c>
      <c r="U465" t="n">
        <v>49.98</v>
      </c>
      <c r="V465" t="n">
        <v>9</v>
      </c>
      <c r="Y465" s="1" t="n">
        <v>46153.51075231482</v>
      </c>
    </row>
    <row r="466">
      <c r="A466" t="inlineStr">
        <is>
          <t>pay_KLgIso5qm1H2k3</t>
        </is>
      </c>
      <c r="B466" t="n">
        <v>1799</v>
      </c>
      <c r="C466" t="inlineStr">
        <is>
          <t>INR</t>
        </is>
      </c>
      <c r="D466" t="inlineStr">
        <is>
          <t>failed</t>
        </is>
      </c>
      <c r="E466" t="inlineStr">
        <is>
          <t>order_761rcKw8b6rQTD</t>
        </is>
      </c>
      <c r="G466" t="n">
        <v>0</v>
      </c>
      <c r="H466" t="inlineStr">
        <is>
          <t>card</t>
        </is>
      </c>
      <c r="I466" t="n">
        <v>0</v>
      </c>
      <c r="J466" t="n">
        <v>0</v>
      </c>
      <c r="L466" t="n">
        <v>0</v>
      </c>
      <c r="R466" t="inlineStr">
        <is>
          <t>customer429@example.com</t>
        </is>
      </c>
      <c r="S466">
        <f>+919875715771</f>
        <v/>
      </c>
      <c r="T466" t="inlineStr">
        <is>
          <t>[]</t>
        </is>
      </c>
      <c r="W466" t="inlineStr">
        <is>
          <t>BAD_REQUEST_ERROR</t>
        </is>
      </c>
      <c r="X466" t="inlineStr">
        <is>
          <t>Card declined by bank</t>
        </is>
      </c>
      <c r="Y466" s="1" t="n">
        <v>46171.78982638889</v>
      </c>
    </row>
    <row r="467">
      <c r="A467" t="inlineStr">
        <is>
          <t>pay_CBMEtu4VJyE6Q8</t>
        </is>
      </c>
      <c r="B467" t="n">
        <v>1799</v>
      </c>
      <c r="C467" t="inlineStr">
        <is>
          <t>INR</t>
        </is>
      </c>
      <c r="D467" t="inlineStr">
        <is>
          <t>failed</t>
        </is>
      </c>
      <c r="E467" t="inlineStr">
        <is>
          <t>order_jmPfKgDWImWd7g</t>
        </is>
      </c>
      <c r="G467" t="n">
        <v>0</v>
      </c>
      <c r="H467" t="inlineStr">
        <is>
          <t>card</t>
        </is>
      </c>
      <c r="I467" t="n">
        <v>0</v>
      </c>
      <c r="J467" t="n">
        <v>0</v>
      </c>
      <c r="L467" t="n">
        <v>0</v>
      </c>
      <c r="R467" t="inlineStr">
        <is>
          <t>customer341@example.com</t>
        </is>
      </c>
      <c r="S467">
        <f>+919826254792</f>
        <v/>
      </c>
      <c r="T467" t="inlineStr">
        <is>
          <t>[]</t>
        </is>
      </c>
      <c r="W467" t="inlineStr">
        <is>
          <t>BAD_REQUEST_ERROR</t>
        </is>
      </c>
      <c r="X467" t="inlineStr">
        <is>
          <t>Payment cancelled by user</t>
        </is>
      </c>
      <c r="Y467" s="1" t="n">
        <v>46159.51462962963</v>
      </c>
    </row>
    <row r="468">
      <c r="A468" t="inlineStr">
        <is>
          <t>pay_kK97iRf1uN4Btd</t>
        </is>
      </c>
      <c r="B468" t="n">
        <v>1799</v>
      </c>
      <c r="C468" t="inlineStr">
        <is>
          <t>INR</t>
        </is>
      </c>
      <c r="D468" t="inlineStr">
        <is>
          <t>captured</t>
        </is>
      </c>
      <c r="E468" t="inlineStr">
        <is>
          <t>order_lUa0Urtg1iSlVs</t>
        </is>
      </c>
      <c r="G468" t="n">
        <v>0</v>
      </c>
      <c r="H468" t="inlineStr">
        <is>
          <t>upi</t>
        </is>
      </c>
      <c r="I468" t="n">
        <v>0</v>
      </c>
      <c r="J468" t="n">
        <v>0</v>
      </c>
      <c r="L468" t="n">
        <v>1</v>
      </c>
      <c r="R468" t="inlineStr">
        <is>
          <t>customer686@example.com</t>
        </is>
      </c>
      <c r="S468">
        <f>+919818201511</f>
        <v/>
      </c>
      <c r="T468" t="inlineStr">
        <is>
          <t>[]</t>
        </is>
      </c>
      <c r="U468" t="n">
        <v>35.98</v>
      </c>
      <c r="V468" t="n">
        <v>6.48</v>
      </c>
      <c r="Y468" s="1" t="n">
        <v>46172.54413194444</v>
      </c>
    </row>
    <row r="469">
      <c r="A469" t="inlineStr">
        <is>
          <t>pay_t11LGBv6ygKxt6</t>
        </is>
      </c>
      <c r="B469" t="n">
        <v>1799</v>
      </c>
      <c r="C469" t="inlineStr">
        <is>
          <t>INR</t>
        </is>
      </c>
      <c r="D469" t="inlineStr">
        <is>
          <t>captured</t>
        </is>
      </c>
      <c r="E469" t="inlineStr">
        <is>
          <t>order_furjgo11Ltu3ih</t>
        </is>
      </c>
      <c r="G469" t="n">
        <v>0</v>
      </c>
      <c r="H469" t="inlineStr">
        <is>
          <t>card</t>
        </is>
      </c>
      <c r="I469" t="n">
        <v>0</v>
      </c>
      <c r="J469" t="n">
        <v>0</v>
      </c>
      <c r="L469" t="n">
        <v>1</v>
      </c>
      <c r="R469" t="inlineStr">
        <is>
          <t>customer682@example.com</t>
        </is>
      </c>
      <c r="S469">
        <f>+919872264926</f>
        <v/>
      </c>
      <c r="T469" t="inlineStr">
        <is>
          <t>[]</t>
        </is>
      </c>
      <c r="U469" t="n">
        <v>35.98</v>
      </c>
      <c r="V469" t="n">
        <v>6.48</v>
      </c>
      <c r="Y469" s="1" t="n">
        <v>46162.95423611111</v>
      </c>
    </row>
    <row r="470">
      <c r="A470" t="inlineStr">
        <is>
          <t>pay_VDnHiR8okJpgFl</t>
        </is>
      </c>
      <c r="B470" t="n">
        <v>3999</v>
      </c>
      <c r="C470" t="inlineStr">
        <is>
          <t>INR</t>
        </is>
      </c>
      <c r="D470" t="inlineStr">
        <is>
          <t>captured</t>
        </is>
      </c>
      <c r="E470" t="inlineStr">
        <is>
          <t>order_ll8gTrg6StmSUs</t>
        </is>
      </c>
      <c r="G470" t="n">
        <v>0</v>
      </c>
      <c r="H470" t="inlineStr">
        <is>
          <t>card</t>
        </is>
      </c>
      <c r="I470" t="n">
        <v>0</v>
      </c>
      <c r="J470" t="n">
        <v>0</v>
      </c>
      <c r="L470" t="n">
        <v>1</v>
      </c>
      <c r="R470" t="inlineStr">
        <is>
          <t>customer697@example.com</t>
        </is>
      </c>
      <c r="S470">
        <f>+919877791143</f>
        <v/>
      </c>
      <c r="T470" t="inlineStr">
        <is>
          <t>[]</t>
        </is>
      </c>
      <c r="U470" t="n">
        <v>79.98</v>
      </c>
      <c r="V470" t="n">
        <v>14.4</v>
      </c>
      <c r="Y470" s="1" t="n">
        <v>46144.84361111111</v>
      </c>
    </row>
    <row r="471">
      <c r="A471" t="inlineStr">
        <is>
          <t>pay_xaoDuMjx5n9a88</t>
        </is>
      </c>
      <c r="B471" t="n">
        <v>999</v>
      </c>
      <c r="C471" t="inlineStr">
        <is>
          <t>INR</t>
        </is>
      </c>
      <c r="D471" t="inlineStr">
        <is>
          <t>captured</t>
        </is>
      </c>
      <c r="E471" t="inlineStr">
        <is>
          <t>order_4HXWpnrFThqbX5</t>
        </is>
      </c>
      <c r="G471" t="n">
        <v>0</v>
      </c>
      <c r="H471" t="inlineStr">
        <is>
          <t>netbanking</t>
        </is>
      </c>
      <c r="I471" t="n">
        <v>0</v>
      </c>
      <c r="J471" t="n">
        <v>0</v>
      </c>
      <c r="L471" t="n">
        <v>1</v>
      </c>
      <c r="R471" t="inlineStr">
        <is>
          <t>customer202@example.com</t>
        </is>
      </c>
      <c r="S471">
        <f>+919847450723</f>
        <v/>
      </c>
      <c r="T471" t="inlineStr">
        <is>
          <t>[]</t>
        </is>
      </c>
      <c r="U471" t="n">
        <v>19.98</v>
      </c>
      <c r="V471" t="n">
        <v>3.6</v>
      </c>
      <c r="Y471" s="1" t="n">
        <v>46143.12303240741</v>
      </c>
    </row>
    <row r="472">
      <c r="A472" t="inlineStr">
        <is>
          <t>pay_JRWshtNnvCvO6H</t>
        </is>
      </c>
      <c r="B472" t="n">
        <v>999</v>
      </c>
      <c r="C472" t="inlineStr">
        <is>
          <t>INR</t>
        </is>
      </c>
      <c r="D472" t="inlineStr">
        <is>
          <t>captured</t>
        </is>
      </c>
      <c r="E472" t="inlineStr">
        <is>
          <t>order_aDY9i8r8zXJNei</t>
        </is>
      </c>
      <c r="G472" t="n">
        <v>0</v>
      </c>
      <c r="H472" t="inlineStr">
        <is>
          <t>card</t>
        </is>
      </c>
      <c r="I472" t="n">
        <v>0</v>
      </c>
      <c r="J472" t="n">
        <v>0</v>
      </c>
      <c r="L472" t="n">
        <v>1</v>
      </c>
      <c r="R472" t="inlineStr">
        <is>
          <t>customer821@example.com</t>
        </is>
      </c>
      <c r="S472">
        <f>+919811537902</f>
        <v/>
      </c>
      <c r="T472" t="inlineStr">
        <is>
          <t>[]</t>
        </is>
      </c>
      <c r="U472" t="n">
        <v>19.98</v>
      </c>
      <c r="V472" t="n">
        <v>3.6</v>
      </c>
      <c r="Y472" s="1" t="n">
        <v>46168.40266203704</v>
      </c>
    </row>
    <row r="473">
      <c r="A473" t="inlineStr">
        <is>
          <t>pay_h9czuTxdybK5P7</t>
        </is>
      </c>
      <c r="B473" t="n">
        <v>1799</v>
      </c>
      <c r="C473" t="inlineStr">
        <is>
          <t>INR</t>
        </is>
      </c>
      <c r="D473" t="inlineStr">
        <is>
          <t>captured</t>
        </is>
      </c>
      <c r="E473" t="inlineStr">
        <is>
          <t>order_9BAiDlArdx84xv</t>
        </is>
      </c>
      <c r="G473" t="n">
        <v>0</v>
      </c>
      <c r="H473" t="inlineStr">
        <is>
          <t>netbanking</t>
        </is>
      </c>
      <c r="I473" t="n">
        <v>0</v>
      </c>
      <c r="J473" t="n">
        <v>0</v>
      </c>
      <c r="L473" t="n">
        <v>1</v>
      </c>
      <c r="R473" t="inlineStr">
        <is>
          <t>customer579@example.com</t>
        </is>
      </c>
      <c r="S473">
        <f>+919896256303</f>
        <v/>
      </c>
      <c r="T473" t="inlineStr">
        <is>
          <t>[]</t>
        </is>
      </c>
      <c r="U473" t="n">
        <v>35.98</v>
      </c>
      <c r="V473" t="n">
        <v>6.48</v>
      </c>
      <c r="Y473" s="1" t="n">
        <v>46154.29982638889</v>
      </c>
    </row>
    <row r="474">
      <c r="A474" t="inlineStr">
        <is>
          <t>pay_K2u8eLnKoGl55F</t>
        </is>
      </c>
      <c r="B474" t="n">
        <v>999</v>
      </c>
      <c r="C474" t="inlineStr">
        <is>
          <t>INR</t>
        </is>
      </c>
      <c r="D474" t="inlineStr">
        <is>
          <t>captured</t>
        </is>
      </c>
      <c r="E474" t="inlineStr">
        <is>
          <t>order_JQFxprBmH1qVK5</t>
        </is>
      </c>
      <c r="G474" t="n">
        <v>0</v>
      </c>
      <c r="H474" t="inlineStr">
        <is>
          <t>netbanking</t>
        </is>
      </c>
      <c r="I474" t="n">
        <v>0</v>
      </c>
      <c r="J474" t="n">
        <v>0</v>
      </c>
      <c r="L474" t="n">
        <v>1</v>
      </c>
      <c r="R474" t="inlineStr">
        <is>
          <t>customer175@example.com</t>
        </is>
      </c>
      <c r="S474">
        <f>+919883307730</f>
        <v/>
      </c>
      <c r="T474" t="inlineStr">
        <is>
          <t>[]</t>
        </is>
      </c>
      <c r="U474" t="n">
        <v>19.98</v>
      </c>
      <c r="V474" t="n">
        <v>3.6</v>
      </c>
      <c r="Y474" s="1" t="n">
        <v>46169.99021990741</v>
      </c>
    </row>
    <row r="475">
      <c r="A475" t="inlineStr">
        <is>
          <t>pay_UmJY8puCkaOTzi</t>
        </is>
      </c>
      <c r="B475" t="n">
        <v>1499</v>
      </c>
      <c r="C475" t="inlineStr">
        <is>
          <t>INR</t>
        </is>
      </c>
      <c r="D475" t="inlineStr">
        <is>
          <t>captured</t>
        </is>
      </c>
      <c r="E475" t="inlineStr">
        <is>
          <t>order_85JjUa7WPhXW6A</t>
        </is>
      </c>
      <c r="G475" t="n">
        <v>0</v>
      </c>
      <c r="H475" t="inlineStr">
        <is>
          <t>upi</t>
        </is>
      </c>
      <c r="I475" t="n">
        <v>0</v>
      </c>
      <c r="J475" t="n">
        <v>0</v>
      </c>
      <c r="L475" t="n">
        <v>1</v>
      </c>
      <c r="R475" t="inlineStr">
        <is>
          <t>customer414@example.com</t>
        </is>
      </c>
      <c r="S475">
        <f>+919859968359</f>
        <v/>
      </c>
      <c r="T475" t="inlineStr">
        <is>
          <t>[]</t>
        </is>
      </c>
      <c r="U475" t="n">
        <v>29.98</v>
      </c>
      <c r="V475" t="n">
        <v>5.4</v>
      </c>
      <c r="Y475" s="1" t="n">
        <v>46151.96530092593</v>
      </c>
    </row>
    <row r="476">
      <c r="A476" t="inlineStr">
        <is>
          <t>pay_oFGfQWNRZcKqkD</t>
        </is>
      </c>
      <c r="B476" t="n">
        <v>1499</v>
      </c>
      <c r="C476" t="inlineStr">
        <is>
          <t>INR</t>
        </is>
      </c>
      <c r="D476" t="inlineStr">
        <is>
          <t>captured</t>
        </is>
      </c>
      <c r="E476" t="inlineStr">
        <is>
          <t>order_5GPqVaH1KhyLep</t>
        </is>
      </c>
      <c r="G476" t="n">
        <v>0</v>
      </c>
      <c r="H476" t="inlineStr">
        <is>
          <t>upi</t>
        </is>
      </c>
      <c r="I476" t="n">
        <v>0</v>
      </c>
      <c r="J476" t="n">
        <v>0</v>
      </c>
      <c r="L476" t="n">
        <v>1</v>
      </c>
      <c r="R476" t="inlineStr">
        <is>
          <t>customer224@example.com</t>
        </is>
      </c>
      <c r="S476">
        <f>+919840996721</f>
        <v/>
      </c>
      <c r="T476" t="inlineStr">
        <is>
          <t>[]</t>
        </is>
      </c>
      <c r="U476" t="n">
        <v>29.98</v>
      </c>
      <c r="V476" t="n">
        <v>5.4</v>
      </c>
      <c r="Y476" s="1" t="n">
        <v>46148.93200231482</v>
      </c>
    </row>
    <row r="477">
      <c r="A477" t="inlineStr">
        <is>
          <t>pay_64roLavnb1RVnX</t>
        </is>
      </c>
      <c r="B477" t="n">
        <v>1499</v>
      </c>
      <c r="C477" t="inlineStr">
        <is>
          <t>INR</t>
        </is>
      </c>
      <c r="D477" t="inlineStr">
        <is>
          <t>failed</t>
        </is>
      </c>
      <c r="E477" t="inlineStr">
        <is>
          <t>order_ODoUiZ2mlIcFEW</t>
        </is>
      </c>
      <c r="G477" t="n">
        <v>0</v>
      </c>
      <c r="H477" t="inlineStr">
        <is>
          <t>upi</t>
        </is>
      </c>
      <c r="I477" t="n">
        <v>0</v>
      </c>
      <c r="J477" t="n">
        <v>0</v>
      </c>
      <c r="L477" t="n">
        <v>0</v>
      </c>
      <c r="R477" t="inlineStr">
        <is>
          <t>customer686@example.com</t>
        </is>
      </c>
      <c r="S477">
        <f>+919812608603</f>
        <v/>
      </c>
      <c r="T477" t="inlineStr">
        <is>
          <t>[]</t>
        </is>
      </c>
      <c r="W477" t="inlineStr">
        <is>
          <t>BAD_REQUEST_ERROR</t>
        </is>
      </c>
      <c r="X477" t="inlineStr">
        <is>
          <t>Payment was not completed on time</t>
        </is>
      </c>
      <c r="Y477" s="1" t="n">
        <v>46159.84273148148</v>
      </c>
    </row>
    <row r="478">
      <c r="A478" t="inlineStr">
        <is>
          <t>pay_MfEpWJCU4zRj6e</t>
        </is>
      </c>
      <c r="B478" t="n">
        <v>2499</v>
      </c>
      <c r="C478" t="inlineStr">
        <is>
          <t>INR</t>
        </is>
      </c>
      <c r="D478" t="inlineStr">
        <is>
          <t>captured</t>
        </is>
      </c>
      <c r="E478" t="inlineStr">
        <is>
          <t>order_c4pTn7XmAKUSDb</t>
        </is>
      </c>
      <c r="G478" t="n">
        <v>0</v>
      </c>
      <c r="H478" t="inlineStr">
        <is>
          <t>upi</t>
        </is>
      </c>
      <c r="I478" t="n">
        <v>0</v>
      </c>
      <c r="J478" t="n">
        <v>0</v>
      </c>
      <c r="L478" t="n">
        <v>1</v>
      </c>
      <c r="R478" t="inlineStr">
        <is>
          <t>customer667@example.com</t>
        </is>
      </c>
      <c r="S478">
        <f>+919867062808</f>
        <v/>
      </c>
      <c r="T478" t="inlineStr">
        <is>
          <t>[]</t>
        </is>
      </c>
      <c r="U478" t="n">
        <v>49.98</v>
      </c>
      <c r="V478" t="n">
        <v>9</v>
      </c>
      <c r="Y478" s="1" t="n">
        <v>46163.89903935185</v>
      </c>
    </row>
    <row r="479">
      <c r="A479" t="inlineStr">
        <is>
          <t>pay_VbF2bWBfN8wiGd</t>
        </is>
      </c>
      <c r="B479" t="n">
        <v>499</v>
      </c>
      <c r="C479" t="inlineStr">
        <is>
          <t>INR</t>
        </is>
      </c>
      <c r="D479" t="inlineStr">
        <is>
          <t>captured</t>
        </is>
      </c>
      <c r="E479" t="inlineStr">
        <is>
          <t>order_IyeLyXyMRNdUJn</t>
        </is>
      </c>
      <c r="G479" t="n">
        <v>0</v>
      </c>
      <c r="H479" t="inlineStr">
        <is>
          <t>card</t>
        </is>
      </c>
      <c r="I479" t="n">
        <v>0</v>
      </c>
      <c r="J479" t="n">
        <v>0</v>
      </c>
      <c r="L479" t="n">
        <v>1</v>
      </c>
      <c r="R479" t="inlineStr">
        <is>
          <t>customer800@example.com</t>
        </is>
      </c>
      <c r="S479">
        <f>+919894690363</f>
        <v/>
      </c>
      <c r="T479" t="inlineStr">
        <is>
          <t>[]</t>
        </is>
      </c>
      <c r="U479" t="n">
        <v>9.98</v>
      </c>
      <c r="V479" t="n">
        <v>1.8</v>
      </c>
      <c r="Y479" s="1" t="n">
        <v>46161.7941087963</v>
      </c>
    </row>
    <row r="480">
      <c r="A480" t="inlineStr">
        <is>
          <t>pay_SrRWCVwiqP21VX</t>
        </is>
      </c>
      <c r="B480" t="n">
        <v>1499</v>
      </c>
      <c r="C480" t="inlineStr">
        <is>
          <t>INR</t>
        </is>
      </c>
      <c r="D480" t="inlineStr">
        <is>
          <t>captured</t>
        </is>
      </c>
      <c r="E480" t="inlineStr">
        <is>
          <t>order_exaiDsDQc6MIc7</t>
        </is>
      </c>
      <c r="G480" t="n">
        <v>0</v>
      </c>
      <c r="H480" t="inlineStr">
        <is>
          <t>upi</t>
        </is>
      </c>
      <c r="I480" t="n">
        <v>0</v>
      </c>
      <c r="J480" t="n">
        <v>0</v>
      </c>
      <c r="L480" t="n">
        <v>1</v>
      </c>
      <c r="R480" t="inlineStr">
        <is>
          <t>customer149@example.com</t>
        </is>
      </c>
      <c r="S480">
        <f>+919814207788</f>
        <v/>
      </c>
      <c r="T480" t="inlineStr">
        <is>
          <t>[]</t>
        </is>
      </c>
      <c r="U480" t="n">
        <v>29.98</v>
      </c>
      <c r="V480" t="n">
        <v>5.4</v>
      </c>
      <c r="Y480" s="1" t="n">
        <v>46144.18502314815</v>
      </c>
    </row>
    <row r="481">
      <c r="A481" t="inlineStr">
        <is>
          <t>pay_5u2gyAiSG3nLCO</t>
        </is>
      </c>
      <c r="B481" t="n">
        <v>1499</v>
      </c>
      <c r="C481" t="inlineStr">
        <is>
          <t>INR</t>
        </is>
      </c>
      <c r="D481" t="inlineStr">
        <is>
          <t>failed</t>
        </is>
      </c>
      <c r="E481" t="inlineStr">
        <is>
          <t>order_ldzovvXzkKEeDs</t>
        </is>
      </c>
      <c r="G481" t="n">
        <v>0</v>
      </c>
      <c r="H481" t="inlineStr">
        <is>
          <t>upi</t>
        </is>
      </c>
      <c r="I481" t="n">
        <v>0</v>
      </c>
      <c r="J481" t="n">
        <v>0</v>
      </c>
      <c r="L481" t="n">
        <v>0</v>
      </c>
      <c r="R481" t="inlineStr">
        <is>
          <t>customer252@example.com</t>
        </is>
      </c>
      <c r="S481">
        <f>+919886274414</f>
        <v/>
      </c>
      <c r="T481" t="inlineStr">
        <is>
          <t>[]</t>
        </is>
      </c>
      <c r="W481" t="inlineStr">
        <is>
          <t>BAD_REQUEST_ERROR</t>
        </is>
      </c>
      <c r="X481" t="inlineStr">
        <is>
          <t>Payment was not completed on time</t>
        </is>
      </c>
      <c r="Y481" s="1" t="n">
        <v>46152.33780092592</v>
      </c>
    </row>
    <row r="482">
      <c r="A482" t="inlineStr">
        <is>
          <t>pay_mls1ksfQusr5CL</t>
        </is>
      </c>
      <c r="B482" t="n">
        <v>1499</v>
      </c>
      <c r="C482" t="inlineStr">
        <is>
          <t>INR</t>
        </is>
      </c>
      <c r="D482" t="inlineStr">
        <is>
          <t>captured</t>
        </is>
      </c>
      <c r="E482" t="inlineStr">
        <is>
          <t>order_ldzovvXzkKEeDs</t>
        </is>
      </c>
      <c r="G482" t="n">
        <v>0</v>
      </c>
      <c r="H482" t="inlineStr">
        <is>
          <t>upi</t>
        </is>
      </c>
      <c r="I482" t="n">
        <v>0</v>
      </c>
      <c r="J482" t="n">
        <v>0</v>
      </c>
      <c r="L482" t="n">
        <v>1</v>
      </c>
      <c r="R482" t="inlineStr">
        <is>
          <t>customer205@example.com</t>
        </is>
      </c>
      <c r="S482">
        <f>+919863259170</f>
        <v/>
      </c>
      <c r="T482" t="inlineStr">
        <is>
          <t>[]</t>
        </is>
      </c>
      <c r="U482" t="n">
        <v>29.98</v>
      </c>
      <c r="V482" t="n">
        <v>5.4</v>
      </c>
      <c r="Y482" s="1" t="n">
        <v>46152.33824074074</v>
      </c>
    </row>
    <row r="483">
      <c r="A483" t="inlineStr">
        <is>
          <t>pay_Plf90OMrgzOI4J</t>
        </is>
      </c>
      <c r="B483" t="n">
        <v>999</v>
      </c>
      <c r="C483" t="inlineStr">
        <is>
          <t>INR</t>
        </is>
      </c>
      <c r="D483" t="inlineStr">
        <is>
          <t>failed</t>
        </is>
      </c>
      <c r="E483" t="inlineStr">
        <is>
          <t>order_BmdB0joUnoWI9X</t>
        </is>
      </c>
      <c r="G483" t="n">
        <v>0</v>
      </c>
      <c r="H483" t="inlineStr">
        <is>
          <t>upi</t>
        </is>
      </c>
      <c r="I483" t="n">
        <v>0</v>
      </c>
      <c r="J483" t="n">
        <v>0</v>
      </c>
      <c r="L483" t="n">
        <v>0</v>
      </c>
      <c r="R483" t="inlineStr">
        <is>
          <t>customer25@example.com</t>
        </is>
      </c>
      <c r="S483">
        <f>+919846407052</f>
        <v/>
      </c>
      <c r="T483" t="inlineStr">
        <is>
          <t>[]</t>
        </is>
      </c>
      <c r="W483" t="inlineStr">
        <is>
          <t>BAD_REQUEST_ERROR</t>
        </is>
      </c>
      <c r="X483" t="inlineStr">
        <is>
          <t>UPI app declined the request</t>
        </is>
      </c>
      <c r="Y483" s="1" t="n">
        <v>46167.8602662037</v>
      </c>
    </row>
    <row r="484">
      <c r="A484" t="inlineStr">
        <is>
          <t>pay_Y9hdZYtYQuQWFH</t>
        </is>
      </c>
      <c r="B484" t="n">
        <v>499</v>
      </c>
      <c r="C484" t="inlineStr">
        <is>
          <t>INR</t>
        </is>
      </c>
      <c r="D484" t="inlineStr">
        <is>
          <t>captured</t>
        </is>
      </c>
      <c r="E484" t="inlineStr">
        <is>
          <t>order_pH3T37q6jJmgtR</t>
        </is>
      </c>
      <c r="G484" t="n">
        <v>0</v>
      </c>
      <c r="H484" t="inlineStr">
        <is>
          <t>upi</t>
        </is>
      </c>
      <c r="I484" t="n">
        <v>0</v>
      </c>
      <c r="J484" t="n">
        <v>0</v>
      </c>
      <c r="L484" t="n">
        <v>1</v>
      </c>
      <c r="R484" t="inlineStr">
        <is>
          <t>customer207@example.com</t>
        </is>
      </c>
      <c r="S484">
        <f>+919813797027</f>
        <v/>
      </c>
      <c r="T484" t="inlineStr">
        <is>
          <t>[]</t>
        </is>
      </c>
      <c r="U484" t="n">
        <v>9.98</v>
      </c>
      <c r="V484" t="n">
        <v>1.8</v>
      </c>
      <c r="Y484" s="1" t="n">
        <v>46149.26275462963</v>
      </c>
    </row>
    <row r="485">
      <c r="A485" t="inlineStr">
        <is>
          <t>pay_BiDip7cFYVitJT</t>
        </is>
      </c>
      <c r="B485" t="n">
        <v>3999</v>
      </c>
      <c r="C485" t="inlineStr">
        <is>
          <t>INR</t>
        </is>
      </c>
      <c r="D485" t="inlineStr">
        <is>
          <t>captured</t>
        </is>
      </c>
      <c r="E485" t="inlineStr">
        <is>
          <t>order_knRSEUGmttwj4v</t>
        </is>
      </c>
      <c r="G485" t="n">
        <v>0</v>
      </c>
      <c r="H485" t="inlineStr">
        <is>
          <t>upi</t>
        </is>
      </c>
      <c r="I485" t="n">
        <v>0</v>
      </c>
      <c r="J485" t="n">
        <v>0</v>
      </c>
      <c r="L485" t="n">
        <v>1</v>
      </c>
      <c r="R485" t="inlineStr">
        <is>
          <t>customer552@example.com</t>
        </is>
      </c>
      <c r="S485">
        <f>+919828572990</f>
        <v/>
      </c>
      <c r="T485" t="inlineStr">
        <is>
          <t>[]</t>
        </is>
      </c>
      <c r="U485" t="n">
        <v>79.98</v>
      </c>
      <c r="V485" t="n">
        <v>14.4</v>
      </c>
      <c r="Y485" s="1" t="n">
        <v>46144.7997337963</v>
      </c>
    </row>
    <row r="486">
      <c r="A486" t="inlineStr">
        <is>
          <t>pay_PjaxR817jWR6fm</t>
        </is>
      </c>
      <c r="B486" t="n">
        <v>999</v>
      </c>
      <c r="C486" t="inlineStr">
        <is>
          <t>INR</t>
        </is>
      </c>
      <c r="D486" t="inlineStr">
        <is>
          <t>refunded</t>
        </is>
      </c>
      <c r="E486" t="inlineStr">
        <is>
          <t>order_DWVtuHHe4XTfIi</t>
        </is>
      </c>
      <c r="G486" t="n">
        <v>0</v>
      </c>
      <c r="H486" t="inlineStr">
        <is>
          <t>upi</t>
        </is>
      </c>
      <c r="I486" t="n">
        <v>999</v>
      </c>
      <c r="J486" t="n">
        <v>0</v>
      </c>
      <c r="K486" t="inlineStr">
        <is>
          <t>full</t>
        </is>
      </c>
      <c r="L486" t="n">
        <v>1</v>
      </c>
      <c r="R486" t="inlineStr">
        <is>
          <t>customer641@example.com</t>
        </is>
      </c>
      <c r="S486">
        <f>+919877532236</f>
        <v/>
      </c>
      <c r="T486" t="inlineStr">
        <is>
          <t>[]</t>
        </is>
      </c>
      <c r="U486" t="n">
        <v>19.98</v>
      </c>
      <c r="V486" t="n">
        <v>3.6</v>
      </c>
      <c r="Y486" s="1" t="n">
        <v>46168.93546296296</v>
      </c>
    </row>
    <row r="487">
      <c r="A487" t="inlineStr">
        <is>
          <t>pay_oTyib36BTP9sDL</t>
        </is>
      </c>
      <c r="B487" t="n">
        <v>1799</v>
      </c>
      <c r="C487" t="inlineStr">
        <is>
          <t>INR</t>
        </is>
      </c>
      <c r="D487" t="inlineStr">
        <is>
          <t>captured</t>
        </is>
      </c>
      <c r="E487" t="inlineStr">
        <is>
          <t>order_mv6OkMqcaX7oTV</t>
        </is>
      </c>
      <c r="G487" t="n">
        <v>0</v>
      </c>
      <c r="H487" t="inlineStr">
        <is>
          <t>upi</t>
        </is>
      </c>
      <c r="I487" t="n">
        <v>0</v>
      </c>
      <c r="J487" t="n">
        <v>0</v>
      </c>
      <c r="L487" t="n">
        <v>1</v>
      </c>
      <c r="R487" t="inlineStr">
        <is>
          <t>customer427@example.com</t>
        </is>
      </c>
      <c r="S487">
        <f>+919871326154</f>
        <v/>
      </c>
      <c r="T487" t="inlineStr">
        <is>
          <t>[]</t>
        </is>
      </c>
      <c r="U487" t="n">
        <v>35.98</v>
      </c>
      <c r="V487" t="n">
        <v>6.48</v>
      </c>
      <c r="Y487" s="1" t="n">
        <v>46157.75121527778</v>
      </c>
    </row>
    <row r="488">
      <c r="A488" t="inlineStr">
        <is>
          <t>pay_QBigwM2xRK34aT</t>
        </is>
      </c>
      <c r="B488" t="n">
        <v>1499</v>
      </c>
      <c r="C488" t="inlineStr">
        <is>
          <t>INR</t>
        </is>
      </c>
      <c r="D488" t="inlineStr">
        <is>
          <t>failed</t>
        </is>
      </c>
      <c r="E488" t="inlineStr">
        <is>
          <t>order_u8T7rCCA2ETF4Z</t>
        </is>
      </c>
      <c r="G488" t="n">
        <v>0</v>
      </c>
      <c r="H488" t="inlineStr">
        <is>
          <t>card</t>
        </is>
      </c>
      <c r="I488" t="n">
        <v>0</v>
      </c>
      <c r="J488" t="n">
        <v>0</v>
      </c>
      <c r="L488" t="n">
        <v>0</v>
      </c>
      <c r="R488" t="inlineStr">
        <is>
          <t>customer298@example.com</t>
        </is>
      </c>
      <c r="S488">
        <f>+919813572085</f>
        <v/>
      </c>
      <c r="T488" t="inlineStr">
        <is>
          <t>[]</t>
        </is>
      </c>
      <c r="W488" t="inlineStr">
        <is>
          <t>BAD_REQUEST_ERROR</t>
        </is>
      </c>
      <c r="X488" t="inlineStr">
        <is>
          <t>Payment cancelled by user</t>
        </is>
      </c>
      <c r="Y488" s="1" t="n">
        <v>46167.53842592592</v>
      </c>
    </row>
    <row r="489">
      <c r="A489" t="inlineStr">
        <is>
          <t>pay_fKja2ZE0K2gcQs</t>
        </is>
      </c>
      <c r="B489" t="n">
        <v>1499</v>
      </c>
      <c r="C489" t="inlineStr">
        <is>
          <t>INR</t>
        </is>
      </c>
      <c r="D489" t="inlineStr">
        <is>
          <t>captured</t>
        </is>
      </c>
      <c r="E489" t="inlineStr">
        <is>
          <t>order_u8T7rCCA2ETF4Z</t>
        </is>
      </c>
      <c r="G489" t="n">
        <v>0</v>
      </c>
      <c r="H489" t="inlineStr">
        <is>
          <t>upi</t>
        </is>
      </c>
      <c r="I489" t="n">
        <v>0</v>
      </c>
      <c r="J489" t="n">
        <v>0</v>
      </c>
      <c r="L489" t="n">
        <v>1</v>
      </c>
      <c r="R489" t="inlineStr">
        <is>
          <t>customer586@example.com</t>
        </is>
      </c>
      <c r="S489">
        <f>+919856426283</f>
        <v/>
      </c>
      <c r="T489" t="inlineStr">
        <is>
          <t>[]</t>
        </is>
      </c>
      <c r="U489" t="n">
        <v>29.98</v>
      </c>
      <c r="V489" t="n">
        <v>5.4</v>
      </c>
      <c r="Y489" s="1" t="n">
        <v>46167.53900462963</v>
      </c>
    </row>
    <row r="490">
      <c r="A490" t="inlineStr">
        <is>
          <t>pay_FX2isfFrrO8mGA</t>
        </is>
      </c>
      <c r="B490" t="n">
        <v>1499</v>
      </c>
      <c r="C490" t="inlineStr">
        <is>
          <t>INR</t>
        </is>
      </c>
      <c r="D490" t="inlineStr">
        <is>
          <t>captured</t>
        </is>
      </c>
      <c r="E490" t="inlineStr">
        <is>
          <t>order_6OWbQGBAWVAsQW</t>
        </is>
      </c>
      <c r="G490" t="n">
        <v>0</v>
      </c>
      <c r="H490" t="inlineStr">
        <is>
          <t>netbanking</t>
        </is>
      </c>
      <c r="I490" t="n">
        <v>0</v>
      </c>
      <c r="J490" t="n">
        <v>0</v>
      </c>
      <c r="L490" t="n">
        <v>1</v>
      </c>
      <c r="R490" t="inlineStr">
        <is>
          <t>customer583@example.com</t>
        </is>
      </c>
      <c r="S490">
        <f>+919863133363</f>
        <v/>
      </c>
      <c r="T490" t="inlineStr">
        <is>
          <t>[]</t>
        </is>
      </c>
      <c r="U490" t="n">
        <v>29.98</v>
      </c>
      <c r="V490" t="n">
        <v>5.4</v>
      </c>
      <c r="Y490" s="1" t="n">
        <v>46167.79548611111</v>
      </c>
    </row>
    <row r="491">
      <c r="A491" t="inlineStr">
        <is>
          <t>pay_mDMG6W5h7wxYpp</t>
        </is>
      </c>
      <c r="B491" t="n">
        <v>1799</v>
      </c>
      <c r="C491" t="inlineStr">
        <is>
          <t>INR</t>
        </is>
      </c>
      <c r="D491" t="inlineStr">
        <is>
          <t>captured</t>
        </is>
      </c>
      <c r="E491" t="inlineStr">
        <is>
          <t>order_Dolb9w14ynjbQt</t>
        </is>
      </c>
      <c r="G491" t="n">
        <v>0</v>
      </c>
      <c r="H491" t="inlineStr">
        <is>
          <t>upi</t>
        </is>
      </c>
      <c r="I491" t="n">
        <v>0</v>
      </c>
      <c r="J491" t="n">
        <v>0</v>
      </c>
      <c r="L491" t="n">
        <v>1</v>
      </c>
      <c r="R491" t="inlineStr">
        <is>
          <t>customer649@example.com</t>
        </is>
      </c>
      <c r="S491">
        <f>+919877196577</f>
        <v/>
      </c>
      <c r="T491" t="inlineStr">
        <is>
          <t>[]</t>
        </is>
      </c>
      <c r="U491" t="n">
        <v>35.98</v>
      </c>
      <c r="V491" t="n">
        <v>6.48</v>
      </c>
      <c r="Y491" s="1" t="n">
        <v>46159.00810185185</v>
      </c>
    </row>
    <row r="492">
      <c r="A492" t="inlineStr">
        <is>
          <t>pay_LdOOvuX4asGtuJ</t>
        </is>
      </c>
      <c r="B492" t="n">
        <v>1499</v>
      </c>
      <c r="C492" t="inlineStr">
        <is>
          <t>INR</t>
        </is>
      </c>
      <c r="D492" t="inlineStr">
        <is>
          <t>captured</t>
        </is>
      </c>
      <c r="E492" t="inlineStr">
        <is>
          <t>order_MCtxBswC1Y1D7d</t>
        </is>
      </c>
      <c r="G492" t="n">
        <v>0</v>
      </c>
      <c r="H492" t="inlineStr">
        <is>
          <t>upi</t>
        </is>
      </c>
      <c r="I492" t="n">
        <v>0</v>
      </c>
      <c r="J492" t="n">
        <v>0</v>
      </c>
      <c r="L492" t="n">
        <v>1</v>
      </c>
      <c r="R492" t="inlineStr">
        <is>
          <t>customer869@example.com</t>
        </is>
      </c>
      <c r="S492">
        <f>+919868105315</f>
        <v/>
      </c>
      <c r="T492" t="inlineStr">
        <is>
          <t>[]</t>
        </is>
      </c>
      <c r="U492" t="n">
        <v>29.98</v>
      </c>
      <c r="V492" t="n">
        <v>5.4</v>
      </c>
      <c r="Y492" s="1" t="n">
        <v>46169.87163194444</v>
      </c>
    </row>
    <row r="493">
      <c r="A493" t="inlineStr">
        <is>
          <t>pay_R6k4kKVEECg3UW</t>
        </is>
      </c>
      <c r="B493" t="n">
        <v>2499</v>
      </c>
      <c r="C493" t="inlineStr">
        <is>
          <t>INR</t>
        </is>
      </c>
      <c r="D493" t="inlineStr">
        <is>
          <t>captured</t>
        </is>
      </c>
      <c r="E493" t="inlineStr">
        <is>
          <t>order_QXdAgnESlmRrrY</t>
        </is>
      </c>
      <c r="G493" t="n">
        <v>0</v>
      </c>
      <c r="H493" t="inlineStr">
        <is>
          <t>netbanking</t>
        </is>
      </c>
      <c r="I493" t="n">
        <v>0</v>
      </c>
      <c r="J493" t="n">
        <v>0</v>
      </c>
      <c r="L493" t="n">
        <v>1</v>
      </c>
      <c r="R493" t="inlineStr">
        <is>
          <t>customer540@example.com</t>
        </is>
      </c>
      <c r="S493">
        <f>+919870174144</f>
        <v/>
      </c>
      <c r="T493" t="inlineStr">
        <is>
          <t>[]</t>
        </is>
      </c>
      <c r="U493" t="n">
        <v>49.98</v>
      </c>
      <c r="V493" t="n">
        <v>9</v>
      </c>
      <c r="Y493" s="1" t="n">
        <v>46161.80342592593</v>
      </c>
    </row>
    <row r="494">
      <c r="A494" t="inlineStr">
        <is>
          <t>pay_oCSL4yQeCWHNI8</t>
        </is>
      </c>
      <c r="B494" t="n">
        <v>1499</v>
      </c>
      <c r="C494" t="inlineStr">
        <is>
          <t>INR</t>
        </is>
      </c>
      <c r="D494" t="inlineStr">
        <is>
          <t>captured</t>
        </is>
      </c>
      <c r="E494" t="inlineStr">
        <is>
          <t>order_6zhWPRDbAvzamZ</t>
        </is>
      </c>
      <c r="G494" t="n">
        <v>0</v>
      </c>
      <c r="H494" t="inlineStr">
        <is>
          <t>card</t>
        </is>
      </c>
      <c r="I494" t="n">
        <v>0</v>
      </c>
      <c r="J494" t="n">
        <v>0</v>
      </c>
      <c r="L494" t="n">
        <v>1</v>
      </c>
      <c r="R494" t="inlineStr">
        <is>
          <t>customer102@example.com</t>
        </is>
      </c>
      <c r="S494">
        <f>+919828280340</f>
        <v/>
      </c>
      <c r="T494" t="inlineStr">
        <is>
          <t>[]</t>
        </is>
      </c>
      <c r="U494" t="n">
        <v>29.98</v>
      </c>
      <c r="V494" t="n">
        <v>5.4</v>
      </c>
      <c r="Y494" s="1" t="n">
        <v>46147.88648148148</v>
      </c>
    </row>
    <row r="495">
      <c r="A495" t="inlineStr">
        <is>
          <t>pay_ftGxRcUPneijCj</t>
        </is>
      </c>
      <c r="B495" t="n">
        <v>999</v>
      </c>
      <c r="C495" t="inlineStr">
        <is>
          <t>INR</t>
        </is>
      </c>
      <c r="D495" t="inlineStr">
        <is>
          <t>failed</t>
        </is>
      </c>
      <c r="E495" t="inlineStr">
        <is>
          <t>order_TYBWtfFew51Uyj</t>
        </is>
      </c>
      <c r="G495" t="n">
        <v>0</v>
      </c>
      <c r="H495" t="inlineStr">
        <is>
          <t>card</t>
        </is>
      </c>
      <c r="I495" t="n">
        <v>0</v>
      </c>
      <c r="J495" t="n">
        <v>0</v>
      </c>
      <c r="L495" t="n">
        <v>0</v>
      </c>
      <c r="R495" t="inlineStr">
        <is>
          <t>customer13@example.com</t>
        </is>
      </c>
      <c r="S495">
        <f>+919829880728</f>
        <v/>
      </c>
      <c r="T495" t="inlineStr">
        <is>
          <t>[]</t>
        </is>
      </c>
      <c r="W495" t="inlineStr">
        <is>
          <t>BAD_REQUEST_ERROR</t>
        </is>
      </c>
      <c r="X495" t="inlineStr">
        <is>
          <t>Payment failed due to incorrect OTP</t>
        </is>
      </c>
      <c r="Y495" s="1" t="n">
        <v>46161.84150462963</v>
      </c>
    </row>
    <row r="496">
      <c r="A496" t="inlineStr">
        <is>
          <t>pay_qrzAMkLN1YVKd3</t>
        </is>
      </c>
      <c r="B496" t="n">
        <v>999</v>
      </c>
      <c r="C496" t="inlineStr">
        <is>
          <t>INR</t>
        </is>
      </c>
      <c r="D496" t="inlineStr">
        <is>
          <t>captured</t>
        </is>
      </c>
      <c r="E496" t="inlineStr">
        <is>
          <t>order_TYBWtfFew51Uyj</t>
        </is>
      </c>
      <c r="G496" t="n">
        <v>0</v>
      </c>
      <c r="H496" t="inlineStr">
        <is>
          <t>card</t>
        </is>
      </c>
      <c r="I496" t="n">
        <v>0</v>
      </c>
      <c r="J496" t="n">
        <v>0</v>
      </c>
      <c r="L496" t="n">
        <v>1</v>
      </c>
      <c r="R496" t="inlineStr">
        <is>
          <t>customer667@example.com</t>
        </is>
      </c>
      <c r="S496">
        <f>+919820330478</f>
        <v/>
      </c>
      <c r="T496" t="inlineStr">
        <is>
          <t>[]</t>
        </is>
      </c>
      <c r="U496" t="n">
        <v>19.98</v>
      </c>
      <c r="V496" t="n">
        <v>3.6</v>
      </c>
      <c r="Y496" s="1" t="n">
        <v>46161.84533564815</v>
      </c>
    </row>
    <row r="497">
      <c r="A497" t="inlineStr">
        <is>
          <t>pay_PdsVcLepWMnUYT</t>
        </is>
      </c>
      <c r="B497" t="n">
        <v>3999</v>
      </c>
      <c r="C497" t="inlineStr">
        <is>
          <t>INR</t>
        </is>
      </c>
      <c r="D497" t="inlineStr">
        <is>
          <t>captured</t>
        </is>
      </c>
      <c r="E497" t="inlineStr">
        <is>
          <t>order_mQk5SNUFdsuMD6</t>
        </is>
      </c>
      <c r="G497" t="n">
        <v>0</v>
      </c>
      <c r="H497" t="inlineStr">
        <is>
          <t>netbanking</t>
        </is>
      </c>
      <c r="I497" t="n">
        <v>0</v>
      </c>
      <c r="J497" t="n">
        <v>0</v>
      </c>
      <c r="L497" t="n">
        <v>1</v>
      </c>
      <c r="R497" t="inlineStr">
        <is>
          <t>customer31@example.com</t>
        </is>
      </c>
      <c r="S497">
        <f>+919844267423</f>
        <v/>
      </c>
      <c r="T497" t="inlineStr">
        <is>
          <t>[]</t>
        </is>
      </c>
      <c r="U497" t="n">
        <v>79.98</v>
      </c>
      <c r="V497" t="n">
        <v>14.4</v>
      </c>
      <c r="Y497" s="1" t="n">
        <v>46172.23537037037</v>
      </c>
    </row>
    <row r="498">
      <c r="A498" t="inlineStr">
        <is>
          <t>pay_ncJNchCMc2IMNx</t>
        </is>
      </c>
      <c r="B498" t="n">
        <v>499</v>
      </c>
      <c r="C498" t="inlineStr">
        <is>
          <t>INR</t>
        </is>
      </c>
      <c r="D498" t="inlineStr">
        <is>
          <t>captured</t>
        </is>
      </c>
      <c r="E498" t="inlineStr">
        <is>
          <t>order_DM9k6Octi2O3cB</t>
        </is>
      </c>
      <c r="G498" t="n">
        <v>0</v>
      </c>
      <c r="H498" t="inlineStr">
        <is>
          <t>netbanking</t>
        </is>
      </c>
      <c r="I498" t="n">
        <v>0</v>
      </c>
      <c r="J498" t="n">
        <v>0</v>
      </c>
      <c r="L498" t="n">
        <v>1</v>
      </c>
      <c r="R498" t="inlineStr">
        <is>
          <t>customer610@example.com</t>
        </is>
      </c>
      <c r="S498">
        <f>+919898722711</f>
        <v/>
      </c>
      <c r="T498" t="inlineStr">
        <is>
          <t>[]</t>
        </is>
      </c>
      <c r="U498" t="n">
        <v>9.98</v>
      </c>
      <c r="V498" t="n">
        <v>1.8</v>
      </c>
      <c r="Y498" s="1" t="n">
        <v>46167.36699074074</v>
      </c>
    </row>
    <row r="499">
      <c r="A499" t="inlineStr">
        <is>
          <t>pay_xxHo9NIonc4YKP</t>
        </is>
      </c>
      <c r="B499" t="n">
        <v>999</v>
      </c>
      <c r="C499" t="inlineStr">
        <is>
          <t>INR</t>
        </is>
      </c>
      <c r="D499" t="inlineStr">
        <is>
          <t>captured</t>
        </is>
      </c>
      <c r="E499" t="inlineStr">
        <is>
          <t>order_fdNUSozGUnWIbQ</t>
        </is>
      </c>
      <c r="G499" t="n">
        <v>0</v>
      </c>
      <c r="H499" t="inlineStr">
        <is>
          <t>netbanking</t>
        </is>
      </c>
      <c r="I499" t="n">
        <v>0</v>
      </c>
      <c r="J499" t="n">
        <v>0</v>
      </c>
      <c r="L499" t="n">
        <v>1</v>
      </c>
      <c r="R499" t="inlineStr">
        <is>
          <t>customer733@example.com</t>
        </is>
      </c>
      <c r="S499">
        <f>+919881481061</f>
        <v/>
      </c>
      <c r="T499" t="inlineStr">
        <is>
          <t>[]</t>
        </is>
      </c>
      <c r="U499" t="n">
        <v>19.98</v>
      </c>
      <c r="V499" t="n">
        <v>3.6</v>
      </c>
      <c r="Y499" s="1" t="n">
        <v>46161.98732638889</v>
      </c>
    </row>
    <row r="500">
      <c r="A500" t="inlineStr">
        <is>
          <t>pay_7PCMX3EulsRfMd</t>
        </is>
      </c>
      <c r="B500" t="n">
        <v>999</v>
      </c>
      <c r="C500" t="inlineStr">
        <is>
          <t>INR</t>
        </is>
      </c>
      <c r="D500" t="inlineStr">
        <is>
          <t>failed</t>
        </is>
      </c>
      <c r="E500" t="inlineStr">
        <is>
          <t>order_NkaqxEojZgGYvO</t>
        </is>
      </c>
      <c r="G500" t="n">
        <v>0</v>
      </c>
      <c r="H500" t="inlineStr">
        <is>
          <t>upi</t>
        </is>
      </c>
      <c r="I500" t="n">
        <v>0</v>
      </c>
      <c r="J500" t="n">
        <v>0</v>
      </c>
      <c r="L500" t="n">
        <v>0</v>
      </c>
      <c r="R500" t="inlineStr">
        <is>
          <t>customer800@example.com</t>
        </is>
      </c>
      <c r="S500">
        <f>+919839788534</f>
        <v/>
      </c>
      <c r="T500" t="inlineStr">
        <is>
          <t>[]</t>
        </is>
      </c>
      <c r="W500" t="inlineStr">
        <is>
          <t>BAD_REQUEST_ERROR</t>
        </is>
      </c>
      <c r="X500" t="inlineStr">
        <is>
          <t>Payment was not completed on time</t>
        </is>
      </c>
      <c r="Y500" s="1" t="n">
        <v>46171.31643518519</v>
      </c>
    </row>
    <row r="501">
      <c r="A501" t="inlineStr">
        <is>
          <t>pay_sMdw4civncFLbS</t>
        </is>
      </c>
      <c r="B501" t="n">
        <v>999</v>
      </c>
      <c r="C501" t="inlineStr">
        <is>
          <t>INR</t>
        </is>
      </c>
      <c r="D501" t="inlineStr">
        <is>
          <t>captured</t>
        </is>
      </c>
      <c r="E501" t="inlineStr">
        <is>
          <t>order_Px9oMDFNzWMpmO</t>
        </is>
      </c>
      <c r="G501" t="n">
        <v>0</v>
      </c>
      <c r="H501" t="inlineStr">
        <is>
          <t>netbanking</t>
        </is>
      </c>
      <c r="I501" t="n">
        <v>0</v>
      </c>
      <c r="J501" t="n">
        <v>0</v>
      </c>
      <c r="L501" t="n">
        <v>1</v>
      </c>
      <c r="R501" t="inlineStr">
        <is>
          <t>customer562@example.com</t>
        </is>
      </c>
      <c r="S501">
        <f>+919898198268</f>
        <v/>
      </c>
      <c r="T501" t="inlineStr">
        <is>
          <t>[]</t>
        </is>
      </c>
      <c r="U501" t="n">
        <v>19.98</v>
      </c>
      <c r="V501" t="n">
        <v>3.6</v>
      </c>
      <c r="Y501" s="1" t="n">
        <v>46161.17924768518</v>
      </c>
    </row>
    <row r="502">
      <c r="A502" t="inlineStr">
        <is>
          <t>pay_RI0VVg5BqUkMdP</t>
        </is>
      </c>
      <c r="B502" t="n">
        <v>1799</v>
      </c>
      <c r="C502" t="inlineStr">
        <is>
          <t>INR</t>
        </is>
      </c>
      <c r="D502" t="inlineStr">
        <is>
          <t>failed</t>
        </is>
      </c>
      <c r="E502" t="inlineStr">
        <is>
          <t>order_XbqP1Wr9F1UL6f</t>
        </is>
      </c>
      <c r="G502" t="n">
        <v>0</v>
      </c>
      <c r="H502" t="inlineStr">
        <is>
          <t>upi</t>
        </is>
      </c>
      <c r="I502" t="n">
        <v>0</v>
      </c>
      <c r="J502" t="n">
        <v>0</v>
      </c>
      <c r="L502" t="n">
        <v>0</v>
      </c>
      <c r="R502" t="inlineStr">
        <is>
          <t>customer800@example.com</t>
        </is>
      </c>
      <c r="S502">
        <f>+919873342606</f>
        <v/>
      </c>
      <c r="T502" t="inlineStr">
        <is>
          <t>[]</t>
        </is>
      </c>
      <c r="W502" t="inlineStr">
        <is>
          <t>BAD_REQUEST_ERROR</t>
        </is>
      </c>
      <c r="X502" t="inlineStr">
        <is>
          <t>UPI app declined the request</t>
        </is>
      </c>
      <c r="Y502" s="1" t="n">
        <v>46173.67337962963</v>
      </c>
    </row>
    <row r="503">
      <c r="A503" t="inlineStr">
        <is>
          <t>pay_6gCe2TduRnltyF</t>
        </is>
      </c>
      <c r="B503" t="n">
        <v>3999</v>
      </c>
      <c r="C503" t="inlineStr">
        <is>
          <t>INR</t>
        </is>
      </c>
      <c r="D503" t="inlineStr">
        <is>
          <t>captured</t>
        </is>
      </c>
      <c r="E503" t="inlineStr">
        <is>
          <t>order_ZFeJmnllsyHV2N</t>
        </is>
      </c>
      <c r="G503" t="n">
        <v>0</v>
      </c>
      <c r="H503" t="inlineStr">
        <is>
          <t>card</t>
        </is>
      </c>
      <c r="I503" t="n">
        <v>0</v>
      </c>
      <c r="J503" t="n">
        <v>0</v>
      </c>
      <c r="L503" t="n">
        <v>1</v>
      </c>
      <c r="R503" t="inlineStr">
        <is>
          <t>customer249@example.com</t>
        </is>
      </c>
      <c r="S503">
        <f>+919832593571</f>
        <v/>
      </c>
      <c r="T503" t="inlineStr">
        <is>
          <t>[]</t>
        </is>
      </c>
      <c r="U503" t="n">
        <v>79.98</v>
      </c>
      <c r="V503" t="n">
        <v>14.4</v>
      </c>
      <c r="Y503" s="1" t="n">
        <v>46153.13964120371</v>
      </c>
    </row>
    <row r="504">
      <c r="A504" t="inlineStr">
        <is>
          <t>pay_zQu6egpnhk8t23</t>
        </is>
      </c>
      <c r="B504" t="n">
        <v>1499</v>
      </c>
      <c r="C504" t="inlineStr">
        <is>
          <t>INR</t>
        </is>
      </c>
      <c r="D504" t="inlineStr">
        <is>
          <t>captured</t>
        </is>
      </c>
      <c r="E504" t="inlineStr">
        <is>
          <t>order_jCrYiEzYyhbAxz</t>
        </is>
      </c>
      <c r="G504" t="n">
        <v>0</v>
      </c>
      <c r="H504" t="inlineStr">
        <is>
          <t>netbanking</t>
        </is>
      </c>
      <c r="I504" t="n">
        <v>0</v>
      </c>
      <c r="J504" t="n">
        <v>0</v>
      </c>
      <c r="L504" t="n">
        <v>1</v>
      </c>
      <c r="R504" t="inlineStr">
        <is>
          <t>customer456@example.com</t>
        </is>
      </c>
      <c r="S504">
        <f>+919837789489</f>
        <v/>
      </c>
      <c r="T504" t="inlineStr">
        <is>
          <t>[]</t>
        </is>
      </c>
      <c r="U504" t="n">
        <v>29.98</v>
      </c>
      <c r="V504" t="n">
        <v>5.4</v>
      </c>
      <c r="Y504" s="1" t="n">
        <v>46166.7990162037</v>
      </c>
    </row>
    <row r="505">
      <c r="A505" t="inlineStr">
        <is>
          <t>pay_h8vAQ400LMaHd4</t>
        </is>
      </c>
      <c r="B505" t="n">
        <v>1799</v>
      </c>
      <c r="C505" t="inlineStr">
        <is>
          <t>INR</t>
        </is>
      </c>
      <c r="D505" t="inlineStr">
        <is>
          <t>failed</t>
        </is>
      </c>
      <c r="E505" t="inlineStr">
        <is>
          <t>order_NJLeNL2VEMrojK</t>
        </is>
      </c>
      <c r="G505" t="n">
        <v>0</v>
      </c>
      <c r="H505" t="inlineStr">
        <is>
          <t>upi</t>
        </is>
      </c>
      <c r="I505" t="n">
        <v>0</v>
      </c>
      <c r="J505" t="n">
        <v>0</v>
      </c>
      <c r="L505" t="n">
        <v>0</v>
      </c>
      <c r="R505" t="inlineStr">
        <is>
          <t>customer290@example.com</t>
        </is>
      </c>
      <c r="S505">
        <f>+919852896341</f>
        <v/>
      </c>
      <c r="T505" t="inlineStr">
        <is>
          <t>[]</t>
        </is>
      </c>
      <c r="W505" t="inlineStr">
        <is>
          <t>BAD_REQUEST_ERROR</t>
        </is>
      </c>
      <c r="X505" t="inlineStr">
        <is>
          <t>Payment was not completed on time</t>
        </is>
      </c>
      <c r="Y505" s="1" t="n">
        <v>46173.65116898148</v>
      </c>
    </row>
    <row r="506">
      <c r="A506" t="inlineStr">
        <is>
          <t>pay_lClShCRFuPBcST</t>
        </is>
      </c>
      <c r="B506" t="n">
        <v>1799</v>
      </c>
      <c r="C506" t="inlineStr">
        <is>
          <t>INR</t>
        </is>
      </c>
      <c r="D506" t="inlineStr">
        <is>
          <t>captured</t>
        </is>
      </c>
      <c r="E506" t="inlineStr">
        <is>
          <t>order_NJLeNL2VEMrojK</t>
        </is>
      </c>
      <c r="G506" t="n">
        <v>0</v>
      </c>
      <c r="H506" t="inlineStr">
        <is>
          <t>upi</t>
        </is>
      </c>
      <c r="I506" t="n">
        <v>0</v>
      </c>
      <c r="J506" t="n">
        <v>0</v>
      </c>
      <c r="L506" t="n">
        <v>1</v>
      </c>
      <c r="R506" t="inlineStr">
        <is>
          <t>customer139@example.com</t>
        </is>
      </c>
      <c r="S506">
        <f>+919820578941</f>
        <v/>
      </c>
      <c r="T506" t="inlineStr">
        <is>
          <t>[]</t>
        </is>
      </c>
      <c r="U506" t="n">
        <v>35.98</v>
      </c>
      <c r="V506" t="n">
        <v>6.48</v>
      </c>
      <c r="Y506" s="1" t="n">
        <v>46173.65366898148</v>
      </c>
    </row>
    <row r="507">
      <c r="A507" t="inlineStr">
        <is>
          <t>pay_6KOvPeMJ4LhC3t</t>
        </is>
      </c>
      <c r="B507" t="n">
        <v>999</v>
      </c>
      <c r="C507" t="inlineStr">
        <is>
          <t>INR</t>
        </is>
      </c>
      <c r="D507" t="inlineStr">
        <is>
          <t>failed</t>
        </is>
      </c>
      <c r="E507" t="inlineStr">
        <is>
          <t>order_UaGrOpDO5iFMbi</t>
        </is>
      </c>
      <c r="G507" t="n">
        <v>0</v>
      </c>
      <c r="H507" t="inlineStr">
        <is>
          <t>card</t>
        </is>
      </c>
      <c r="I507" t="n">
        <v>0</v>
      </c>
      <c r="J507" t="n">
        <v>0</v>
      </c>
      <c r="L507" t="n">
        <v>0</v>
      </c>
      <c r="R507" t="inlineStr">
        <is>
          <t>customer484@example.com</t>
        </is>
      </c>
      <c r="S507">
        <f>+919888765670</f>
        <v/>
      </c>
      <c r="T507" t="inlineStr">
        <is>
          <t>[]</t>
        </is>
      </c>
      <c r="W507" t="inlineStr">
        <is>
          <t>BAD_REQUEST_ERROR</t>
        </is>
      </c>
      <c r="X507" t="inlineStr">
        <is>
          <t>Payment failed due to incorrect OTP</t>
        </is>
      </c>
      <c r="Y507" s="1" t="n">
        <v>46147.00637731481</v>
      </c>
    </row>
    <row r="508">
      <c r="A508" t="inlineStr">
        <is>
          <t>pay_K0CjUespVXdWLt</t>
        </is>
      </c>
      <c r="B508" t="n">
        <v>999</v>
      </c>
      <c r="C508" t="inlineStr">
        <is>
          <t>INR</t>
        </is>
      </c>
      <c r="D508" t="inlineStr">
        <is>
          <t>captured</t>
        </is>
      </c>
      <c r="E508" t="inlineStr">
        <is>
          <t>order_UaGrOpDO5iFMbi</t>
        </is>
      </c>
      <c r="G508" t="n">
        <v>0</v>
      </c>
      <c r="H508" t="inlineStr">
        <is>
          <t>card</t>
        </is>
      </c>
      <c r="I508" t="n">
        <v>0</v>
      </c>
      <c r="J508" t="n">
        <v>0</v>
      </c>
      <c r="L508" t="n">
        <v>1</v>
      </c>
      <c r="R508" t="inlineStr">
        <is>
          <t>customer73@example.com</t>
        </is>
      </c>
      <c r="S508">
        <f>+919889992098</f>
        <v/>
      </c>
      <c r="T508" t="inlineStr">
        <is>
          <t>[]</t>
        </is>
      </c>
      <c r="U508" t="n">
        <v>19.98</v>
      </c>
      <c r="V508" t="n">
        <v>3.6</v>
      </c>
      <c r="Y508" s="1" t="n">
        <v>46147.01297453704</v>
      </c>
    </row>
    <row r="509">
      <c r="A509" t="inlineStr">
        <is>
          <t>pay_m6O1SElcaylmMC</t>
        </is>
      </c>
      <c r="B509" t="n">
        <v>999</v>
      </c>
      <c r="C509" t="inlineStr">
        <is>
          <t>INR</t>
        </is>
      </c>
      <c r="D509" t="inlineStr">
        <is>
          <t>captured</t>
        </is>
      </c>
      <c r="E509" t="inlineStr">
        <is>
          <t>order_juK9PFUUxc2jks</t>
        </is>
      </c>
      <c r="G509" t="n">
        <v>0</v>
      </c>
      <c r="H509" t="inlineStr">
        <is>
          <t>upi</t>
        </is>
      </c>
      <c r="I509" t="n">
        <v>0</v>
      </c>
      <c r="J509" t="n">
        <v>0</v>
      </c>
      <c r="L509" t="n">
        <v>1</v>
      </c>
      <c r="R509" t="inlineStr">
        <is>
          <t>customer36@example.com</t>
        </is>
      </c>
      <c r="S509">
        <f>+919839247268</f>
        <v/>
      </c>
      <c r="T509" t="inlineStr">
        <is>
          <t>[]</t>
        </is>
      </c>
      <c r="U509" t="n">
        <v>19.98</v>
      </c>
      <c r="V509" t="n">
        <v>3.6</v>
      </c>
      <c r="Y509" s="1" t="n">
        <v>46167.08513888889</v>
      </c>
    </row>
    <row r="510">
      <c r="A510" t="inlineStr">
        <is>
          <t>pay_b2UuXYIVXoIibr</t>
        </is>
      </c>
      <c r="B510" t="n">
        <v>2499</v>
      </c>
      <c r="C510" t="inlineStr">
        <is>
          <t>INR</t>
        </is>
      </c>
      <c r="D510" t="inlineStr">
        <is>
          <t>captured</t>
        </is>
      </c>
      <c r="E510" t="inlineStr">
        <is>
          <t>order_WHJfPrYfmqGtxE</t>
        </is>
      </c>
      <c r="G510" t="n">
        <v>0</v>
      </c>
      <c r="H510" t="inlineStr">
        <is>
          <t>upi</t>
        </is>
      </c>
      <c r="I510" t="n">
        <v>0</v>
      </c>
      <c r="J510" t="n">
        <v>0</v>
      </c>
      <c r="L510" t="n">
        <v>1</v>
      </c>
      <c r="R510" t="inlineStr">
        <is>
          <t>customer268@example.com</t>
        </is>
      </c>
      <c r="S510">
        <f>+919898469840</f>
        <v/>
      </c>
      <c r="T510" t="inlineStr">
        <is>
          <t>[]</t>
        </is>
      </c>
      <c r="U510" t="n">
        <v>49.98</v>
      </c>
      <c r="V510" t="n">
        <v>9</v>
      </c>
      <c r="Y510" s="1" t="n">
        <v>46154.76488425926</v>
      </c>
    </row>
    <row r="511">
      <c r="A511" t="inlineStr">
        <is>
          <t>pay_lP6Qr5tyEr2Dgu</t>
        </is>
      </c>
      <c r="B511" t="n">
        <v>999</v>
      </c>
      <c r="C511" t="inlineStr">
        <is>
          <t>INR</t>
        </is>
      </c>
      <c r="D511" t="inlineStr">
        <is>
          <t>failed</t>
        </is>
      </c>
      <c r="E511" t="inlineStr">
        <is>
          <t>order_BOOtK3VBcfmbPN</t>
        </is>
      </c>
      <c r="G511" t="n">
        <v>0</v>
      </c>
      <c r="H511" t="inlineStr">
        <is>
          <t>upi</t>
        </is>
      </c>
      <c r="I511" t="n">
        <v>0</v>
      </c>
      <c r="J511" t="n">
        <v>0</v>
      </c>
      <c r="L511" t="n">
        <v>0</v>
      </c>
      <c r="R511" t="inlineStr">
        <is>
          <t>customer770@example.com</t>
        </is>
      </c>
      <c r="S511">
        <f>+919878948232</f>
        <v/>
      </c>
      <c r="T511" t="inlineStr">
        <is>
          <t>[]</t>
        </is>
      </c>
      <c r="W511" t="inlineStr">
        <is>
          <t>BAD_REQUEST_ERROR</t>
        </is>
      </c>
      <c r="X511" t="inlineStr">
        <is>
          <t>UPI app declined the request</t>
        </is>
      </c>
      <c r="Y511" s="1" t="n">
        <v>46158.18210648148</v>
      </c>
    </row>
    <row r="512">
      <c r="A512" t="inlineStr">
        <is>
          <t>pay_H2FwA6DrmIwxGB</t>
        </is>
      </c>
      <c r="B512" t="n">
        <v>999</v>
      </c>
      <c r="C512" t="inlineStr">
        <is>
          <t>INR</t>
        </is>
      </c>
      <c r="D512" t="inlineStr">
        <is>
          <t>captured</t>
        </is>
      </c>
      <c r="E512" t="inlineStr">
        <is>
          <t>order_BOOtK3VBcfmbPN</t>
        </is>
      </c>
      <c r="G512" t="n">
        <v>0</v>
      </c>
      <c r="H512" t="inlineStr">
        <is>
          <t>upi</t>
        </is>
      </c>
      <c r="I512" t="n">
        <v>0</v>
      </c>
      <c r="J512" t="n">
        <v>0</v>
      </c>
      <c r="L512" t="n">
        <v>1</v>
      </c>
      <c r="R512" t="inlineStr">
        <is>
          <t>customer348@example.com</t>
        </is>
      </c>
      <c r="S512">
        <f>+919820014524</f>
        <v/>
      </c>
      <c r="T512" t="inlineStr">
        <is>
          <t>[]</t>
        </is>
      </c>
      <c r="U512" t="n">
        <v>19.98</v>
      </c>
      <c r="V512" t="n">
        <v>3.6</v>
      </c>
      <c r="Y512" s="1" t="n">
        <v>46158.18236111111</v>
      </c>
    </row>
    <row r="513">
      <c r="A513" t="inlineStr">
        <is>
          <t>pay_M6kwuaAX2diSw3</t>
        </is>
      </c>
      <c r="B513" t="n">
        <v>999</v>
      </c>
      <c r="C513" t="inlineStr">
        <is>
          <t>INR</t>
        </is>
      </c>
      <c r="D513" t="inlineStr">
        <is>
          <t>captured</t>
        </is>
      </c>
      <c r="E513" t="inlineStr">
        <is>
          <t>order_a5x3Z3QYUWDWA0</t>
        </is>
      </c>
      <c r="G513" t="n">
        <v>0</v>
      </c>
      <c r="H513" t="inlineStr">
        <is>
          <t>netbanking</t>
        </is>
      </c>
      <c r="I513" t="n">
        <v>0</v>
      </c>
      <c r="J513" t="n">
        <v>0</v>
      </c>
      <c r="L513" t="n">
        <v>1</v>
      </c>
      <c r="R513" t="inlineStr">
        <is>
          <t>customer6@example.com</t>
        </is>
      </c>
      <c r="S513">
        <f>+919844847632</f>
        <v/>
      </c>
      <c r="T513" t="inlineStr">
        <is>
          <t>[]</t>
        </is>
      </c>
      <c r="U513" t="n">
        <v>19.98</v>
      </c>
      <c r="V513" t="n">
        <v>3.6</v>
      </c>
      <c r="Y513" s="1" t="n">
        <v>46170.48629629629</v>
      </c>
    </row>
    <row r="514">
      <c r="A514" t="inlineStr">
        <is>
          <t>pay_X8VH8ZJOFlq92Q</t>
        </is>
      </c>
      <c r="B514" t="n">
        <v>1499</v>
      </c>
      <c r="C514" t="inlineStr">
        <is>
          <t>INR</t>
        </is>
      </c>
      <c r="D514" t="inlineStr">
        <is>
          <t>captured</t>
        </is>
      </c>
      <c r="E514" t="inlineStr">
        <is>
          <t>order_Vr2VQYOaOK9ZdG</t>
        </is>
      </c>
      <c r="G514" t="n">
        <v>0</v>
      </c>
      <c r="H514" t="inlineStr">
        <is>
          <t>upi</t>
        </is>
      </c>
      <c r="I514" t="n">
        <v>0</v>
      </c>
      <c r="J514" t="n">
        <v>0</v>
      </c>
      <c r="L514" t="n">
        <v>1</v>
      </c>
      <c r="R514" t="inlineStr">
        <is>
          <t>customer485@example.com</t>
        </is>
      </c>
      <c r="S514">
        <f>+919891846779</f>
        <v/>
      </c>
      <c r="T514" t="inlineStr">
        <is>
          <t>[]</t>
        </is>
      </c>
      <c r="U514" t="n">
        <v>29.98</v>
      </c>
      <c r="V514" t="n">
        <v>5.4</v>
      </c>
      <c r="Y514" s="1" t="n">
        <v>46153.82377314815</v>
      </c>
    </row>
    <row r="515">
      <c r="A515" t="inlineStr">
        <is>
          <t>pay_oHTXwbgwfsXDsz</t>
        </is>
      </c>
      <c r="B515" t="n">
        <v>499</v>
      </c>
      <c r="C515" t="inlineStr">
        <is>
          <t>INR</t>
        </is>
      </c>
      <c r="D515" t="inlineStr">
        <is>
          <t>refunded</t>
        </is>
      </c>
      <c r="E515" t="inlineStr">
        <is>
          <t>order_yz9srebvzIc6Zk</t>
        </is>
      </c>
      <c r="G515" t="n">
        <v>0</v>
      </c>
      <c r="H515" t="inlineStr">
        <is>
          <t>card</t>
        </is>
      </c>
      <c r="I515" t="n">
        <v>499</v>
      </c>
      <c r="J515" t="n">
        <v>0</v>
      </c>
      <c r="K515" t="inlineStr">
        <is>
          <t>full</t>
        </is>
      </c>
      <c r="L515" t="n">
        <v>1</v>
      </c>
      <c r="R515" t="inlineStr">
        <is>
          <t>customer861@example.com</t>
        </is>
      </c>
      <c r="S515">
        <f>+919896960121</f>
        <v/>
      </c>
      <c r="T515" t="inlineStr">
        <is>
          <t>[]</t>
        </is>
      </c>
      <c r="U515" t="n">
        <v>9.98</v>
      </c>
      <c r="V515" t="n">
        <v>1.8</v>
      </c>
      <c r="Y515" s="1" t="n">
        <v>46153.83377314815</v>
      </c>
    </row>
    <row r="516">
      <c r="A516" t="inlineStr">
        <is>
          <t>pay_JKD0D3BD9PBaAo</t>
        </is>
      </c>
      <c r="B516" t="n">
        <v>1799</v>
      </c>
      <c r="C516" t="inlineStr">
        <is>
          <t>INR</t>
        </is>
      </c>
      <c r="D516" t="inlineStr">
        <is>
          <t>captured</t>
        </is>
      </c>
      <c r="E516" t="inlineStr">
        <is>
          <t>order_fY2BjQY8Zok61Q</t>
        </is>
      </c>
      <c r="G516" t="n">
        <v>0</v>
      </c>
      <c r="H516" t="inlineStr">
        <is>
          <t>netbanking</t>
        </is>
      </c>
      <c r="I516" t="n">
        <v>0</v>
      </c>
      <c r="J516" t="n">
        <v>0</v>
      </c>
      <c r="L516" t="n">
        <v>1</v>
      </c>
      <c r="R516" t="inlineStr">
        <is>
          <t>customer421@example.com</t>
        </is>
      </c>
      <c r="S516">
        <f>+919816042219</f>
        <v/>
      </c>
      <c r="T516" t="inlineStr">
        <is>
          <t>[]</t>
        </is>
      </c>
      <c r="U516" t="n">
        <v>35.98</v>
      </c>
      <c r="V516" t="n">
        <v>6.48</v>
      </c>
      <c r="Y516" s="1" t="n">
        <v>46162.34483796296</v>
      </c>
    </row>
    <row r="517">
      <c r="A517" t="inlineStr">
        <is>
          <t>pay_bhllASZDSGBC9e</t>
        </is>
      </c>
      <c r="B517" t="n">
        <v>1499</v>
      </c>
      <c r="C517" t="inlineStr">
        <is>
          <t>INR</t>
        </is>
      </c>
      <c r="D517" t="inlineStr">
        <is>
          <t>captured</t>
        </is>
      </c>
      <c r="E517" t="inlineStr">
        <is>
          <t>order_xYtTKLW2ircKds</t>
        </is>
      </c>
      <c r="G517" t="n">
        <v>0</v>
      </c>
      <c r="H517" t="inlineStr">
        <is>
          <t>upi</t>
        </is>
      </c>
      <c r="I517" t="n">
        <v>0</v>
      </c>
      <c r="J517" t="n">
        <v>0</v>
      </c>
      <c r="L517" t="n">
        <v>1</v>
      </c>
      <c r="R517" t="inlineStr">
        <is>
          <t>customer323@example.com</t>
        </is>
      </c>
      <c r="S517">
        <f>+919890657132</f>
        <v/>
      </c>
      <c r="T517" t="inlineStr">
        <is>
          <t>[]</t>
        </is>
      </c>
      <c r="U517" t="n">
        <v>29.98</v>
      </c>
      <c r="V517" t="n">
        <v>5.4</v>
      </c>
      <c r="Y517" s="1" t="n">
        <v>46160.3903587963</v>
      </c>
    </row>
    <row r="518">
      <c r="A518" t="inlineStr">
        <is>
          <t>pay_jUPczFljzauFqG</t>
        </is>
      </c>
      <c r="B518" t="n">
        <v>1499</v>
      </c>
      <c r="C518" t="inlineStr">
        <is>
          <t>INR</t>
        </is>
      </c>
      <c r="D518" t="inlineStr">
        <is>
          <t>failed</t>
        </is>
      </c>
      <c r="E518" t="inlineStr">
        <is>
          <t>order_5VwhHNcDiuU5gv</t>
        </is>
      </c>
      <c r="G518" t="n">
        <v>0</v>
      </c>
      <c r="H518" t="inlineStr">
        <is>
          <t>card</t>
        </is>
      </c>
      <c r="I518" t="n">
        <v>0</v>
      </c>
      <c r="J518" t="n">
        <v>0</v>
      </c>
      <c r="L518" t="n">
        <v>0</v>
      </c>
      <c r="R518" t="inlineStr">
        <is>
          <t>customer478@example.com</t>
        </is>
      </c>
      <c r="S518">
        <f>+919812759160</f>
        <v/>
      </c>
      <c r="T518" t="inlineStr">
        <is>
          <t>[]</t>
        </is>
      </c>
      <c r="W518" t="inlineStr">
        <is>
          <t>BAD_REQUEST_ERROR</t>
        </is>
      </c>
      <c r="X518" t="inlineStr">
        <is>
          <t>Payment failed due to incorrect OTP</t>
        </is>
      </c>
      <c r="Y518" s="1" t="n">
        <v>46165.8169212963</v>
      </c>
    </row>
    <row r="519">
      <c r="A519" t="inlineStr">
        <is>
          <t>pay_3uvrXNjsJZLPt0</t>
        </is>
      </c>
      <c r="B519" t="n">
        <v>1499</v>
      </c>
      <c r="C519" t="inlineStr">
        <is>
          <t>INR</t>
        </is>
      </c>
      <c r="D519" t="inlineStr">
        <is>
          <t>captured</t>
        </is>
      </c>
      <c r="E519" t="inlineStr">
        <is>
          <t>order_5VwhHNcDiuU5gv</t>
        </is>
      </c>
      <c r="G519" t="n">
        <v>0</v>
      </c>
      <c r="H519" t="inlineStr">
        <is>
          <t>upi</t>
        </is>
      </c>
      <c r="I519" t="n">
        <v>0</v>
      </c>
      <c r="J519" t="n">
        <v>0</v>
      </c>
      <c r="L519" t="n">
        <v>1</v>
      </c>
      <c r="R519" t="inlineStr">
        <is>
          <t>customer631@example.com</t>
        </is>
      </c>
      <c r="S519">
        <f>+919810544361</f>
        <v/>
      </c>
      <c r="T519" t="inlineStr">
        <is>
          <t>[]</t>
        </is>
      </c>
      <c r="U519" t="n">
        <v>29.98</v>
      </c>
      <c r="V519" t="n">
        <v>5.4</v>
      </c>
      <c r="Y519" s="1" t="n">
        <v>46165.81842592593</v>
      </c>
    </row>
    <row r="520">
      <c r="A520" t="inlineStr">
        <is>
          <t>pay_Gfa684L9hDOn0y</t>
        </is>
      </c>
      <c r="B520" t="n">
        <v>1799</v>
      </c>
      <c r="C520" t="inlineStr">
        <is>
          <t>INR</t>
        </is>
      </c>
      <c r="D520" t="inlineStr">
        <is>
          <t>captured</t>
        </is>
      </c>
      <c r="E520" t="inlineStr">
        <is>
          <t>order_SrcECCGfNGP0sT</t>
        </is>
      </c>
      <c r="G520" t="n">
        <v>0</v>
      </c>
      <c r="H520" t="inlineStr">
        <is>
          <t>upi</t>
        </is>
      </c>
      <c r="I520" t="n">
        <v>0</v>
      </c>
      <c r="J520" t="n">
        <v>0</v>
      </c>
      <c r="L520" t="n">
        <v>1</v>
      </c>
      <c r="R520" t="inlineStr">
        <is>
          <t>customer859@example.com</t>
        </is>
      </c>
      <c r="S520">
        <f>+919888126301</f>
        <v/>
      </c>
      <c r="T520" t="inlineStr">
        <is>
          <t>[]</t>
        </is>
      </c>
      <c r="U520" t="n">
        <v>35.98</v>
      </c>
      <c r="V520" t="n">
        <v>6.48</v>
      </c>
      <c r="Y520" s="1" t="n">
        <v>46171.28896990741</v>
      </c>
    </row>
    <row r="521">
      <c r="A521" t="inlineStr">
        <is>
          <t>pay_SF0m68zJaIAWUR</t>
        </is>
      </c>
      <c r="B521" t="n">
        <v>999</v>
      </c>
      <c r="C521" t="inlineStr">
        <is>
          <t>INR</t>
        </is>
      </c>
      <c r="D521" t="inlineStr">
        <is>
          <t>refunded</t>
        </is>
      </c>
      <c r="E521" t="inlineStr">
        <is>
          <t>order_G2leapxHy9J2op</t>
        </is>
      </c>
      <c r="G521" t="n">
        <v>0</v>
      </c>
      <c r="H521" t="inlineStr">
        <is>
          <t>upi</t>
        </is>
      </c>
      <c r="I521" t="n">
        <v>999</v>
      </c>
      <c r="J521" t="n">
        <v>0</v>
      </c>
      <c r="K521" t="inlineStr">
        <is>
          <t>full</t>
        </is>
      </c>
      <c r="L521" t="n">
        <v>1</v>
      </c>
      <c r="R521" t="inlineStr">
        <is>
          <t>customer704@example.com</t>
        </is>
      </c>
      <c r="S521">
        <f>+919812645967</f>
        <v/>
      </c>
      <c r="T521" t="inlineStr">
        <is>
          <t>[]</t>
        </is>
      </c>
      <c r="U521" t="n">
        <v>19.98</v>
      </c>
      <c r="V521" t="n">
        <v>3.6</v>
      </c>
      <c r="Y521" s="1" t="n">
        <v>46154.95256944445</v>
      </c>
    </row>
    <row r="522">
      <c r="A522" t="inlineStr">
        <is>
          <t>pay_J9J0pjCqKmZIJF</t>
        </is>
      </c>
      <c r="B522" t="n">
        <v>1499</v>
      </c>
      <c r="C522" t="inlineStr">
        <is>
          <t>INR</t>
        </is>
      </c>
      <c r="D522" t="inlineStr">
        <is>
          <t>captured</t>
        </is>
      </c>
      <c r="E522" t="inlineStr">
        <is>
          <t>order_L4tWYERUP0dZdK</t>
        </is>
      </c>
      <c r="G522" t="n">
        <v>0</v>
      </c>
      <c r="H522" t="inlineStr">
        <is>
          <t>upi</t>
        </is>
      </c>
      <c r="I522" t="n">
        <v>0</v>
      </c>
      <c r="J522" t="n">
        <v>0</v>
      </c>
      <c r="L522" t="n">
        <v>1</v>
      </c>
      <c r="R522" t="inlineStr">
        <is>
          <t>customer651@example.com</t>
        </is>
      </c>
      <c r="S522">
        <f>+919867250453</f>
        <v/>
      </c>
      <c r="T522" t="inlineStr">
        <is>
          <t>[]</t>
        </is>
      </c>
      <c r="U522" t="n">
        <v>29.98</v>
      </c>
      <c r="V522" t="n">
        <v>5.4</v>
      </c>
      <c r="Y522" s="1" t="n">
        <v>46169.49630787037</v>
      </c>
    </row>
    <row r="523">
      <c r="A523" t="inlineStr">
        <is>
          <t>pay_z4ULcjuSvvAaYs</t>
        </is>
      </c>
      <c r="B523" t="n">
        <v>3999</v>
      </c>
      <c r="C523" t="inlineStr">
        <is>
          <t>INR</t>
        </is>
      </c>
      <c r="D523" t="inlineStr">
        <is>
          <t>captured</t>
        </is>
      </c>
      <c r="E523" t="inlineStr">
        <is>
          <t>order_0efOuu4pz8PLmX</t>
        </is>
      </c>
      <c r="G523" t="n">
        <v>0</v>
      </c>
      <c r="H523" t="inlineStr">
        <is>
          <t>card</t>
        </is>
      </c>
      <c r="I523" t="n">
        <v>0</v>
      </c>
      <c r="J523" t="n">
        <v>0</v>
      </c>
      <c r="L523" t="n">
        <v>1</v>
      </c>
      <c r="R523" t="inlineStr">
        <is>
          <t>customer810@example.com</t>
        </is>
      </c>
      <c r="S523">
        <f>+919849987266</f>
        <v/>
      </c>
      <c r="T523" t="inlineStr">
        <is>
          <t>[]</t>
        </is>
      </c>
      <c r="U523" t="n">
        <v>79.98</v>
      </c>
      <c r="V523" t="n">
        <v>14.4</v>
      </c>
      <c r="Y523" s="1" t="n">
        <v>46164.90060185185</v>
      </c>
    </row>
    <row r="524">
      <c r="A524" t="inlineStr">
        <is>
          <t>pay_FWsMGE5mI9FPPa</t>
        </is>
      </c>
      <c r="B524" t="n">
        <v>2499</v>
      </c>
      <c r="C524" t="inlineStr">
        <is>
          <t>INR</t>
        </is>
      </c>
      <c r="D524" t="inlineStr">
        <is>
          <t>failed</t>
        </is>
      </c>
      <c r="E524" t="inlineStr">
        <is>
          <t>order_moc0enmzzxdT2w</t>
        </is>
      </c>
      <c r="G524" t="n">
        <v>0</v>
      </c>
      <c r="H524" t="inlineStr">
        <is>
          <t>card</t>
        </is>
      </c>
      <c r="I524" t="n">
        <v>0</v>
      </c>
      <c r="J524" t="n">
        <v>0</v>
      </c>
      <c r="L524" t="n">
        <v>0</v>
      </c>
      <c r="R524" t="inlineStr">
        <is>
          <t>customer792@example.com</t>
        </is>
      </c>
      <c r="S524">
        <f>+919854108824</f>
        <v/>
      </c>
      <c r="T524" t="inlineStr">
        <is>
          <t>[]</t>
        </is>
      </c>
      <c r="W524" t="inlineStr">
        <is>
          <t>BAD_REQUEST_ERROR</t>
        </is>
      </c>
      <c r="X524" t="inlineStr">
        <is>
          <t>Card declined by bank</t>
        </is>
      </c>
      <c r="Y524" s="1" t="n">
        <v>46171.54836805556</v>
      </c>
    </row>
    <row r="525">
      <c r="A525" t="inlineStr">
        <is>
          <t>pay_HA9CONtK69AMQg</t>
        </is>
      </c>
      <c r="B525" t="n">
        <v>2499</v>
      </c>
      <c r="C525" t="inlineStr">
        <is>
          <t>INR</t>
        </is>
      </c>
      <c r="D525" t="inlineStr">
        <is>
          <t>failed</t>
        </is>
      </c>
      <c r="E525" t="inlineStr">
        <is>
          <t>order_moc0enmzzxdT2w</t>
        </is>
      </c>
      <c r="G525" t="n">
        <v>0</v>
      </c>
      <c r="H525" t="inlineStr">
        <is>
          <t>card</t>
        </is>
      </c>
      <c r="I525" t="n">
        <v>0</v>
      </c>
      <c r="J525" t="n">
        <v>0</v>
      </c>
      <c r="L525" t="n">
        <v>0</v>
      </c>
      <c r="R525" t="inlineStr">
        <is>
          <t>customer279@example.com</t>
        </is>
      </c>
      <c r="S525">
        <f>+919858859672</f>
        <v/>
      </c>
      <c r="T525" t="inlineStr">
        <is>
          <t>[]</t>
        </is>
      </c>
      <c r="W525" t="inlineStr">
        <is>
          <t>BAD_REQUEST_ERROR</t>
        </is>
      </c>
      <c r="X525" t="inlineStr">
        <is>
          <t>Payment cancelled by user</t>
        </is>
      </c>
      <c r="Y525" s="1" t="n">
        <v>46171.55049768519</v>
      </c>
    </row>
    <row r="526">
      <c r="A526" t="inlineStr">
        <is>
          <t>pay_pyLqvbSX9CywMJ</t>
        </is>
      </c>
      <c r="B526" t="n">
        <v>499</v>
      </c>
      <c r="C526" t="inlineStr">
        <is>
          <t>INR</t>
        </is>
      </c>
      <c r="D526" t="inlineStr">
        <is>
          <t>captured</t>
        </is>
      </c>
      <c r="E526" t="inlineStr">
        <is>
          <t>order_b4fLYdZv0WDLAf</t>
        </is>
      </c>
      <c r="G526" t="n">
        <v>0</v>
      </c>
      <c r="H526" t="inlineStr">
        <is>
          <t>card</t>
        </is>
      </c>
      <c r="I526" t="n">
        <v>0</v>
      </c>
      <c r="J526" t="n">
        <v>0</v>
      </c>
      <c r="L526" t="n">
        <v>1</v>
      </c>
      <c r="R526" t="inlineStr">
        <is>
          <t>customer82@example.com</t>
        </is>
      </c>
      <c r="S526">
        <f>+919851144992</f>
        <v/>
      </c>
      <c r="T526" t="inlineStr">
        <is>
          <t>[]</t>
        </is>
      </c>
      <c r="U526" t="n">
        <v>9.98</v>
      </c>
      <c r="V526" t="n">
        <v>1.8</v>
      </c>
      <c r="Y526" s="1" t="n">
        <v>46155.15163194444</v>
      </c>
    </row>
    <row r="527">
      <c r="A527" t="inlineStr">
        <is>
          <t>pay_R4shdm3cQca7V2</t>
        </is>
      </c>
      <c r="B527" t="n">
        <v>3999</v>
      </c>
      <c r="C527" t="inlineStr">
        <is>
          <t>INR</t>
        </is>
      </c>
      <c r="D527" t="inlineStr">
        <is>
          <t>failed</t>
        </is>
      </c>
      <c r="E527" t="inlineStr">
        <is>
          <t>order_qKxcNGS6cOdwqK</t>
        </is>
      </c>
      <c r="G527" t="n">
        <v>0</v>
      </c>
      <c r="H527" t="inlineStr">
        <is>
          <t>upi</t>
        </is>
      </c>
      <c r="I527" t="n">
        <v>0</v>
      </c>
      <c r="J527" t="n">
        <v>0</v>
      </c>
      <c r="L527" t="n">
        <v>0</v>
      </c>
      <c r="R527" t="inlineStr">
        <is>
          <t>customer275@example.com</t>
        </is>
      </c>
      <c r="S527">
        <f>+919828601359</f>
        <v/>
      </c>
      <c r="T527" t="inlineStr">
        <is>
          <t>[]</t>
        </is>
      </c>
      <c r="W527" t="inlineStr">
        <is>
          <t>BAD_REQUEST_ERROR</t>
        </is>
      </c>
      <c r="X527" t="inlineStr">
        <is>
          <t>Payment was not completed on time</t>
        </is>
      </c>
      <c r="Y527" s="1" t="n">
        <v>46165.00884259259</v>
      </c>
    </row>
    <row r="528">
      <c r="A528" t="inlineStr">
        <is>
          <t>pay_sjXSoRpWd2z3Gh</t>
        </is>
      </c>
      <c r="B528" t="n">
        <v>1499</v>
      </c>
      <c r="C528" t="inlineStr">
        <is>
          <t>INR</t>
        </is>
      </c>
      <c r="D528" t="inlineStr">
        <is>
          <t>captured</t>
        </is>
      </c>
      <c r="E528" t="inlineStr">
        <is>
          <t>order_mYDJydZyhYR6wT</t>
        </is>
      </c>
      <c r="G528" t="n">
        <v>0</v>
      </c>
      <c r="H528" t="inlineStr">
        <is>
          <t>card</t>
        </is>
      </c>
      <c r="I528" t="n">
        <v>0</v>
      </c>
      <c r="J528" t="n">
        <v>0</v>
      </c>
      <c r="L528" t="n">
        <v>1</v>
      </c>
      <c r="R528" t="inlineStr">
        <is>
          <t>customer789@example.com</t>
        </is>
      </c>
      <c r="S528">
        <f>+919813573656</f>
        <v/>
      </c>
      <c r="T528" t="inlineStr">
        <is>
          <t>[]</t>
        </is>
      </c>
      <c r="U528" t="n">
        <v>29.98</v>
      </c>
      <c r="V528" t="n">
        <v>5.4</v>
      </c>
      <c r="Y528" s="1" t="n">
        <v>46173.73527777778</v>
      </c>
    </row>
    <row r="529">
      <c r="A529" t="inlineStr">
        <is>
          <t>pay_nHRwZ28cDUvTiE</t>
        </is>
      </c>
      <c r="B529" t="n">
        <v>1799</v>
      </c>
      <c r="C529" t="inlineStr">
        <is>
          <t>INR</t>
        </is>
      </c>
      <c r="D529" t="inlineStr">
        <is>
          <t>captured</t>
        </is>
      </c>
      <c r="E529" t="inlineStr">
        <is>
          <t>order_gG221ZDEe8Aa1U</t>
        </is>
      </c>
      <c r="G529" t="n">
        <v>0</v>
      </c>
      <c r="H529" t="inlineStr">
        <is>
          <t>upi</t>
        </is>
      </c>
      <c r="I529" t="n">
        <v>0</v>
      </c>
      <c r="J529" t="n">
        <v>0</v>
      </c>
      <c r="L529" t="n">
        <v>1</v>
      </c>
      <c r="R529" t="inlineStr">
        <is>
          <t>customer546@example.com</t>
        </is>
      </c>
      <c r="S529">
        <f>+919861994838</f>
        <v/>
      </c>
      <c r="T529" t="inlineStr">
        <is>
          <t>[]</t>
        </is>
      </c>
      <c r="U529" t="n">
        <v>35.98</v>
      </c>
      <c r="V529" t="n">
        <v>6.48</v>
      </c>
      <c r="Y529" s="1" t="n">
        <v>46172.28962962963</v>
      </c>
    </row>
    <row r="530">
      <c r="A530" t="inlineStr">
        <is>
          <t>pay_HfcYrTzV1ejBfa</t>
        </is>
      </c>
      <c r="B530" t="n">
        <v>1499</v>
      </c>
      <c r="C530" t="inlineStr">
        <is>
          <t>INR</t>
        </is>
      </c>
      <c r="D530" t="inlineStr">
        <is>
          <t>captured</t>
        </is>
      </c>
      <c r="E530" t="inlineStr">
        <is>
          <t>order_FRWfTbrASU8DBb</t>
        </is>
      </c>
      <c r="G530" t="n">
        <v>0</v>
      </c>
      <c r="H530" t="inlineStr">
        <is>
          <t>upi</t>
        </is>
      </c>
      <c r="I530" t="n">
        <v>0</v>
      </c>
      <c r="J530" t="n">
        <v>0</v>
      </c>
      <c r="L530" t="n">
        <v>1</v>
      </c>
      <c r="R530" t="inlineStr">
        <is>
          <t>customer425@example.com</t>
        </is>
      </c>
      <c r="S530">
        <f>+919821749447</f>
        <v/>
      </c>
      <c r="T530" t="inlineStr">
        <is>
          <t>[]</t>
        </is>
      </c>
      <c r="U530" t="n">
        <v>29.98</v>
      </c>
      <c r="V530" t="n">
        <v>5.4</v>
      </c>
      <c r="Y530" s="1" t="n">
        <v>46146.82208333333</v>
      </c>
    </row>
    <row r="531">
      <c r="A531" t="inlineStr">
        <is>
          <t>pay_TSOuKn4xLTSicr</t>
        </is>
      </c>
      <c r="B531" t="n">
        <v>2499</v>
      </c>
      <c r="C531" t="inlineStr">
        <is>
          <t>INR</t>
        </is>
      </c>
      <c r="D531" t="inlineStr">
        <is>
          <t>failed</t>
        </is>
      </c>
      <c r="E531" t="inlineStr">
        <is>
          <t>order_bMSfbnVhjSCHgh</t>
        </is>
      </c>
      <c r="G531" t="n">
        <v>0</v>
      </c>
      <c r="H531" t="inlineStr">
        <is>
          <t>upi</t>
        </is>
      </c>
      <c r="I531" t="n">
        <v>0</v>
      </c>
      <c r="J531" t="n">
        <v>0</v>
      </c>
      <c r="L531" t="n">
        <v>0</v>
      </c>
      <c r="R531" t="inlineStr">
        <is>
          <t>customer542@example.com</t>
        </is>
      </c>
      <c r="S531">
        <f>+919826591291</f>
        <v/>
      </c>
      <c r="T531" t="inlineStr">
        <is>
          <t>[]</t>
        </is>
      </c>
      <c r="W531" t="inlineStr">
        <is>
          <t>BAD_REQUEST_ERROR</t>
        </is>
      </c>
      <c r="X531" t="inlineStr">
        <is>
          <t>UPI app declined the request</t>
        </is>
      </c>
      <c r="Y531" s="1" t="n">
        <v>46162.03228009259</v>
      </c>
    </row>
    <row r="532">
      <c r="A532" t="inlineStr">
        <is>
          <t>pay_lCgZL3rGEZzN7B</t>
        </is>
      </c>
      <c r="B532" t="n">
        <v>2499</v>
      </c>
      <c r="C532" t="inlineStr">
        <is>
          <t>INR</t>
        </is>
      </c>
      <c r="D532" t="inlineStr">
        <is>
          <t>captured</t>
        </is>
      </c>
      <c r="E532" t="inlineStr">
        <is>
          <t>order_bMSfbnVhjSCHgh</t>
        </is>
      </c>
      <c r="G532" t="n">
        <v>0</v>
      </c>
      <c r="H532" t="inlineStr">
        <is>
          <t>upi</t>
        </is>
      </c>
      <c r="I532" t="n">
        <v>0</v>
      </c>
      <c r="J532" t="n">
        <v>0</v>
      </c>
      <c r="L532" t="n">
        <v>1</v>
      </c>
      <c r="R532" t="inlineStr">
        <is>
          <t>customer81@example.com</t>
        </is>
      </c>
      <c r="S532">
        <f>+919885062997</f>
        <v/>
      </c>
      <c r="T532" t="inlineStr">
        <is>
          <t>[]</t>
        </is>
      </c>
      <c r="U532" t="n">
        <v>49.98</v>
      </c>
      <c r="V532" t="n">
        <v>9</v>
      </c>
      <c r="Y532" s="1" t="n">
        <v>46162.03304398148</v>
      </c>
    </row>
    <row r="533">
      <c r="A533" t="inlineStr">
        <is>
          <t>pay_8dw70BfIbzSaEr</t>
        </is>
      </c>
      <c r="B533" t="n">
        <v>1499</v>
      </c>
      <c r="C533" t="inlineStr">
        <is>
          <t>INR</t>
        </is>
      </c>
      <c r="D533" t="inlineStr">
        <is>
          <t>captured</t>
        </is>
      </c>
      <c r="E533" t="inlineStr">
        <is>
          <t>order_KnIHFdgjkUQInf</t>
        </is>
      </c>
      <c r="G533" t="n">
        <v>0</v>
      </c>
      <c r="H533" t="inlineStr">
        <is>
          <t>upi</t>
        </is>
      </c>
      <c r="I533" t="n">
        <v>0</v>
      </c>
      <c r="J533" t="n">
        <v>0</v>
      </c>
      <c r="L533" t="n">
        <v>1</v>
      </c>
      <c r="R533" t="inlineStr">
        <is>
          <t>customer877@example.com</t>
        </is>
      </c>
      <c r="S533">
        <f>+919821406955</f>
        <v/>
      </c>
      <c r="T533" t="inlineStr">
        <is>
          <t>[]</t>
        </is>
      </c>
      <c r="U533" t="n">
        <v>29.98</v>
      </c>
      <c r="V533" t="n">
        <v>5.4</v>
      </c>
      <c r="Y533" s="1" t="n">
        <v>46154.90965277778</v>
      </c>
    </row>
    <row r="534">
      <c r="A534" t="inlineStr">
        <is>
          <t>pay_yCL0TKXUsg4SnH</t>
        </is>
      </c>
      <c r="B534" t="n">
        <v>1499</v>
      </c>
      <c r="C534" t="inlineStr">
        <is>
          <t>INR</t>
        </is>
      </c>
      <c r="D534" t="inlineStr">
        <is>
          <t>captured</t>
        </is>
      </c>
      <c r="E534" t="inlineStr">
        <is>
          <t>order_Yu87BcQYvnZpbT</t>
        </is>
      </c>
      <c r="G534" t="n">
        <v>0</v>
      </c>
      <c r="H534" t="inlineStr">
        <is>
          <t>netbanking</t>
        </is>
      </c>
      <c r="I534" t="n">
        <v>0</v>
      </c>
      <c r="J534" t="n">
        <v>0</v>
      </c>
      <c r="L534" t="n">
        <v>1</v>
      </c>
      <c r="R534" t="inlineStr">
        <is>
          <t>customer436@example.com</t>
        </is>
      </c>
      <c r="S534">
        <f>+919819238821</f>
        <v/>
      </c>
      <c r="T534" t="inlineStr">
        <is>
          <t>[]</t>
        </is>
      </c>
      <c r="U534" t="n">
        <v>29.98</v>
      </c>
      <c r="V534" t="n">
        <v>5.4</v>
      </c>
      <c r="Y534" s="1" t="n">
        <v>46162.80081018519</v>
      </c>
    </row>
    <row r="535">
      <c r="A535" t="inlineStr">
        <is>
          <t>pay_VhWo8NsXJKstxB</t>
        </is>
      </c>
      <c r="B535" t="n">
        <v>1499</v>
      </c>
      <c r="C535" t="inlineStr">
        <is>
          <t>INR</t>
        </is>
      </c>
      <c r="D535" t="inlineStr">
        <is>
          <t>captured</t>
        </is>
      </c>
      <c r="E535" t="inlineStr">
        <is>
          <t>order_ru0o3Emftow6Fl</t>
        </is>
      </c>
      <c r="G535" t="n">
        <v>0</v>
      </c>
      <c r="H535" t="inlineStr">
        <is>
          <t>card</t>
        </is>
      </c>
      <c r="I535" t="n">
        <v>0</v>
      </c>
      <c r="J535" t="n">
        <v>0</v>
      </c>
      <c r="L535" t="n">
        <v>1</v>
      </c>
      <c r="R535" t="inlineStr">
        <is>
          <t>customer836@example.com</t>
        </is>
      </c>
      <c r="S535">
        <f>+919885249951</f>
        <v/>
      </c>
      <c r="T535" t="inlineStr">
        <is>
          <t>[]</t>
        </is>
      </c>
      <c r="U535" t="n">
        <v>29.98</v>
      </c>
      <c r="V535" t="n">
        <v>5.4</v>
      </c>
      <c r="Y535" s="1" t="n">
        <v>46158.41126157407</v>
      </c>
    </row>
    <row r="536">
      <c r="A536" t="inlineStr">
        <is>
          <t>pay_oSkEMfw29EejdP</t>
        </is>
      </c>
      <c r="B536" t="n">
        <v>2499</v>
      </c>
      <c r="C536" t="inlineStr">
        <is>
          <t>INR</t>
        </is>
      </c>
      <c r="D536" t="inlineStr">
        <is>
          <t>captured</t>
        </is>
      </c>
      <c r="E536" t="inlineStr">
        <is>
          <t>order_69o99AaRmdF4fH</t>
        </is>
      </c>
      <c r="G536" t="n">
        <v>0</v>
      </c>
      <c r="H536" t="inlineStr">
        <is>
          <t>netbanking</t>
        </is>
      </c>
      <c r="I536" t="n">
        <v>0</v>
      </c>
      <c r="J536" t="n">
        <v>0</v>
      </c>
      <c r="L536" t="n">
        <v>1</v>
      </c>
      <c r="R536" t="inlineStr">
        <is>
          <t>customer757@example.com</t>
        </is>
      </c>
      <c r="S536">
        <f>+919875039313</f>
        <v/>
      </c>
      <c r="T536" t="inlineStr">
        <is>
          <t>[]</t>
        </is>
      </c>
      <c r="U536" t="n">
        <v>49.98</v>
      </c>
      <c r="V536" t="n">
        <v>9</v>
      </c>
      <c r="Y536" s="1" t="n">
        <v>46152.88409722222</v>
      </c>
    </row>
    <row r="537">
      <c r="A537" t="inlineStr">
        <is>
          <t>pay_oxuiLToE9AzCQA</t>
        </is>
      </c>
      <c r="B537" t="n">
        <v>499</v>
      </c>
      <c r="C537" t="inlineStr">
        <is>
          <t>INR</t>
        </is>
      </c>
      <c r="D537" t="inlineStr">
        <is>
          <t>failed</t>
        </is>
      </c>
      <c r="E537" t="inlineStr">
        <is>
          <t>order_Pwfx9t925ZFJhS</t>
        </is>
      </c>
      <c r="G537" t="n">
        <v>0</v>
      </c>
      <c r="H537" t="inlineStr">
        <is>
          <t>card</t>
        </is>
      </c>
      <c r="I537" t="n">
        <v>0</v>
      </c>
      <c r="J537" t="n">
        <v>0</v>
      </c>
      <c r="L537" t="n">
        <v>0</v>
      </c>
      <c r="R537" t="inlineStr">
        <is>
          <t>customer803@example.com</t>
        </is>
      </c>
      <c r="S537">
        <f>+919862716437</f>
        <v/>
      </c>
      <c r="T537" t="inlineStr">
        <is>
          <t>[]</t>
        </is>
      </c>
      <c r="W537" t="inlineStr">
        <is>
          <t>BAD_REQUEST_ERROR</t>
        </is>
      </c>
      <c r="X537" t="inlineStr">
        <is>
          <t>Card declined by bank</t>
        </is>
      </c>
      <c r="Y537" s="1" t="n">
        <v>46165.59332175926</v>
      </c>
    </row>
    <row r="538">
      <c r="A538" t="inlineStr">
        <is>
          <t>pay_JN1R5ICK7euau6</t>
        </is>
      </c>
      <c r="B538" t="n">
        <v>1499</v>
      </c>
      <c r="C538" t="inlineStr">
        <is>
          <t>INR</t>
        </is>
      </c>
      <c r="D538" t="inlineStr">
        <is>
          <t>captured</t>
        </is>
      </c>
      <c r="E538" t="inlineStr">
        <is>
          <t>order_kQUWV95RuDfzwv</t>
        </is>
      </c>
      <c r="G538" t="n">
        <v>0</v>
      </c>
      <c r="H538" t="inlineStr">
        <is>
          <t>upi</t>
        </is>
      </c>
      <c r="I538" t="n">
        <v>0</v>
      </c>
      <c r="J538" t="n">
        <v>0</v>
      </c>
      <c r="L538" t="n">
        <v>1</v>
      </c>
      <c r="R538" t="inlineStr">
        <is>
          <t>customer483@example.com</t>
        </is>
      </c>
      <c r="S538">
        <f>+919887606466</f>
        <v/>
      </c>
      <c r="T538" t="inlineStr">
        <is>
          <t>[]</t>
        </is>
      </c>
      <c r="U538" t="n">
        <v>29.98</v>
      </c>
      <c r="V538" t="n">
        <v>5.4</v>
      </c>
      <c r="Y538" s="1" t="n">
        <v>46168.44678240741</v>
      </c>
    </row>
    <row r="539">
      <c r="A539" t="inlineStr">
        <is>
          <t>pay_xNNUBZ3AvPgnrw</t>
        </is>
      </c>
      <c r="B539" t="n">
        <v>1499</v>
      </c>
      <c r="C539" t="inlineStr">
        <is>
          <t>INR</t>
        </is>
      </c>
      <c r="D539" t="inlineStr">
        <is>
          <t>captured</t>
        </is>
      </c>
      <c r="E539" t="inlineStr">
        <is>
          <t>order_O4Z9omdYgSaos3</t>
        </is>
      </c>
      <c r="G539" t="n">
        <v>0</v>
      </c>
      <c r="H539" t="inlineStr">
        <is>
          <t>netbanking</t>
        </is>
      </c>
      <c r="I539" t="n">
        <v>0</v>
      </c>
      <c r="J539" t="n">
        <v>0</v>
      </c>
      <c r="L539" t="n">
        <v>1</v>
      </c>
      <c r="R539" t="inlineStr">
        <is>
          <t>customer167@example.com</t>
        </is>
      </c>
      <c r="S539">
        <f>+919830624823</f>
        <v/>
      </c>
      <c r="T539" t="inlineStr">
        <is>
          <t>[]</t>
        </is>
      </c>
      <c r="U539" t="n">
        <v>29.98</v>
      </c>
      <c r="V539" t="n">
        <v>5.4</v>
      </c>
      <c r="Y539" s="1" t="n">
        <v>46150.90993055556</v>
      </c>
    </row>
    <row r="540">
      <c r="A540" t="inlineStr">
        <is>
          <t>pay_7vnV7MjIoC3o8O</t>
        </is>
      </c>
      <c r="B540" t="n">
        <v>1499</v>
      </c>
      <c r="C540" t="inlineStr">
        <is>
          <t>INR</t>
        </is>
      </c>
      <c r="D540" t="inlineStr">
        <is>
          <t>captured</t>
        </is>
      </c>
      <c r="E540" t="inlineStr">
        <is>
          <t>order_oFSKA0vk1EfQdY</t>
        </is>
      </c>
      <c r="G540" t="n">
        <v>0</v>
      </c>
      <c r="H540" t="inlineStr">
        <is>
          <t>upi</t>
        </is>
      </c>
      <c r="I540" t="n">
        <v>0</v>
      </c>
      <c r="J540" t="n">
        <v>0</v>
      </c>
      <c r="L540" t="n">
        <v>1</v>
      </c>
      <c r="R540" t="inlineStr">
        <is>
          <t>customer621@example.com</t>
        </is>
      </c>
      <c r="S540">
        <f>+919816617351</f>
        <v/>
      </c>
      <c r="T540" t="inlineStr">
        <is>
          <t>[]</t>
        </is>
      </c>
      <c r="U540" t="n">
        <v>29.98</v>
      </c>
      <c r="V540" t="n">
        <v>5.4</v>
      </c>
      <c r="Y540" s="1" t="n">
        <v>46154.11189814815</v>
      </c>
    </row>
    <row r="541">
      <c r="A541" t="inlineStr">
        <is>
          <t>pay_nD6LXNCdMExsSK</t>
        </is>
      </c>
      <c r="B541" t="n">
        <v>1499</v>
      </c>
      <c r="C541" t="inlineStr">
        <is>
          <t>INR</t>
        </is>
      </c>
      <c r="D541" t="inlineStr">
        <is>
          <t>captured</t>
        </is>
      </c>
      <c r="E541" t="inlineStr">
        <is>
          <t>order_j4VUeGbZabeLoS</t>
        </is>
      </c>
      <c r="G541" t="n">
        <v>0</v>
      </c>
      <c r="H541" t="inlineStr">
        <is>
          <t>upi</t>
        </is>
      </c>
      <c r="I541" t="n">
        <v>0</v>
      </c>
      <c r="J541" t="n">
        <v>0</v>
      </c>
      <c r="L541" t="n">
        <v>1</v>
      </c>
      <c r="R541" t="inlineStr">
        <is>
          <t>customer135@example.com</t>
        </is>
      </c>
      <c r="S541">
        <f>+919854160536</f>
        <v/>
      </c>
      <c r="T541" t="inlineStr">
        <is>
          <t>[]</t>
        </is>
      </c>
      <c r="U541" t="n">
        <v>29.98</v>
      </c>
      <c r="V541" t="n">
        <v>5.4</v>
      </c>
      <c r="Y541" s="1" t="n">
        <v>46151.38111111111</v>
      </c>
    </row>
    <row r="542">
      <c r="A542" t="inlineStr">
        <is>
          <t>pay_z2CgPk2Z28xG3q</t>
        </is>
      </c>
      <c r="B542" t="n">
        <v>1799</v>
      </c>
      <c r="C542" t="inlineStr">
        <is>
          <t>INR</t>
        </is>
      </c>
      <c r="D542" t="inlineStr">
        <is>
          <t>captured</t>
        </is>
      </c>
      <c r="E542" t="inlineStr">
        <is>
          <t>order_gBIjhj1N1LJBuF</t>
        </is>
      </c>
      <c r="G542" t="n">
        <v>0</v>
      </c>
      <c r="H542" t="inlineStr">
        <is>
          <t>upi</t>
        </is>
      </c>
      <c r="I542" t="n">
        <v>0</v>
      </c>
      <c r="J542" t="n">
        <v>0</v>
      </c>
      <c r="L542" t="n">
        <v>1</v>
      </c>
      <c r="R542" t="inlineStr">
        <is>
          <t>customer189@example.com</t>
        </is>
      </c>
      <c r="S542">
        <f>+919899236665</f>
        <v/>
      </c>
      <c r="T542" t="inlineStr">
        <is>
          <t>[]</t>
        </is>
      </c>
      <c r="U542" t="n">
        <v>35.98</v>
      </c>
      <c r="V542" t="n">
        <v>6.48</v>
      </c>
      <c r="Y542" s="1" t="n">
        <v>46145.75322916666</v>
      </c>
    </row>
    <row r="543">
      <c r="A543" t="inlineStr">
        <is>
          <t>pay_RmVhKOx79NmoYw</t>
        </is>
      </c>
      <c r="B543" t="n">
        <v>999</v>
      </c>
      <c r="C543" t="inlineStr">
        <is>
          <t>INR</t>
        </is>
      </c>
      <c r="D543" t="inlineStr">
        <is>
          <t>captured</t>
        </is>
      </c>
      <c r="E543" t="inlineStr">
        <is>
          <t>order_DBXV22WqJWNIhr</t>
        </is>
      </c>
      <c r="G543" t="n">
        <v>0</v>
      </c>
      <c r="H543" t="inlineStr">
        <is>
          <t>netbanking</t>
        </is>
      </c>
      <c r="I543" t="n">
        <v>0</v>
      </c>
      <c r="J543" t="n">
        <v>0</v>
      </c>
      <c r="L543" t="n">
        <v>1</v>
      </c>
      <c r="R543" t="inlineStr">
        <is>
          <t>customer392@example.com</t>
        </is>
      </c>
      <c r="S543">
        <f>+919879399159</f>
        <v/>
      </c>
      <c r="T543" t="inlineStr">
        <is>
          <t>[]</t>
        </is>
      </c>
      <c r="U543" t="n">
        <v>19.98</v>
      </c>
      <c r="V543" t="n">
        <v>3.6</v>
      </c>
      <c r="Y543" s="1" t="n">
        <v>46162.37045138889</v>
      </c>
    </row>
    <row r="544">
      <c r="A544" t="inlineStr">
        <is>
          <t>pay_nn5m1rYTQlCtPj</t>
        </is>
      </c>
      <c r="B544" t="n">
        <v>1499</v>
      </c>
      <c r="C544" t="inlineStr">
        <is>
          <t>INR</t>
        </is>
      </c>
      <c r="D544" t="inlineStr">
        <is>
          <t>captured</t>
        </is>
      </c>
      <c r="E544" t="inlineStr">
        <is>
          <t>order_8PdNVMbrpXnCPo</t>
        </is>
      </c>
      <c r="G544" t="n">
        <v>0</v>
      </c>
      <c r="H544" t="inlineStr">
        <is>
          <t>upi</t>
        </is>
      </c>
      <c r="I544" t="n">
        <v>0</v>
      </c>
      <c r="J544" t="n">
        <v>0</v>
      </c>
      <c r="L544" t="n">
        <v>1</v>
      </c>
      <c r="R544" t="inlineStr">
        <is>
          <t>customer484@example.com</t>
        </is>
      </c>
      <c r="S544">
        <f>+919822045681</f>
        <v/>
      </c>
      <c r="T544" t="inlineStr">
        <is>
          <t>[]</t>
        </is>
      </c>
      <c r="U544" t="n">
        <v>29.98</v>
      </c>
      <c r="V544" t="n">
        <v>5.4</v>
      </c>
      <c r="Y544" s="1" t="n">
        <v>46153.51229166667</v>
      </c>
    </row>
    <row r="545">
      <c r="A545" t="inlineStr">
        <is>
          <t>pay_jrX2tZhuWRk8PY</t>
        </is>
      </c>
      <c r="B545" t="n">
        <v>1799</v>
      </c>
      <c r="C545" t="inlineStr">
        <is>
          <t>INR</t>
        </is>
      </c>
      <c r="D545" t="inlineStr">
        <is>
          <t>captured</t>
        </is>
      </c>
      <c r="E545" t="inlineStr">
        <is>
          <t>order_w34YMYvN8hWKdW</t>
        </is>
      </c>
      <c r="G545" t="n">
        <v>0</v>
      </c>
      <c r="H545" t="inlineStr">
        <is>
          <t>netbanking</t>
        </is>
      </c>
      <c r="I545" t="n">
        <v>0</v>
      </c>
      <c r="J545" t="n">
        <v>0</v>
      </c>
      <c r="L545" t="n">
        <v>1</v>
      </c>
      <c r="R545" t="inlineStr">
        <is>
          <t>customer251@example.com</t>
        </is>
      </c>
      <c r="S545">
        <f>+919889911973</f>
        <v/>
      </c>
      <c r="T545" t="inlineStr">
        <is>
          <t>[]</t>
        </is>
      </c>
      <c r="U545" t="n">
        <v>35.98</v>
      </c>
      <c r="V545" t="n">
        <v>6.48</v>
      </c>
      <c r="Y545" s="1" t="n">
        <v>46166.35601851852</v>
      </c>
    </row>
    <row r="546">
      <c r="A546" t="inlineStr">
        <is>
          <t>pay_SFN7vFh2SKWRyE</t>
        </is>
      </c>
      <c r="B546" t="n">
        <v>1799</v>
      </c>
      <c r="C546" t="inlineStr">
        <is>
          <t>INR</t>
        </is>
      </c>
      <c r="D546" t="inlineStr">
        <is>
          <t>captured</t>
        </is>
      </c>
      <c r="E546" t="inlineStr">
        <is>
          <t>order_rrG0kU7Xh3TJoq</t>
        </is>
      </c>
      <c r="G546" t="n">
        <v>0</v>
      </c>
      <c r="H546" t="inlineStr">
        <is>
          <t>upi</t>
        </is>
      </c>
      <c r="I546" t="n">
        <v>0</v>
      </c>
      <c r="J546" t="n">
        <v>0</v>
      </c>
      <c r="L546" t="n">
        <v>1</v>
      </c>
      <c r="R546" t="inlineStr">
        <is>
          <t>customer523@example.com</t>
        </is>
      </c>
      <c r="S546">
        <f>+919825914164</f>
        <v/>
      </c>
      <c r="T546" t="inlineStr">
        <is>
          <t>[]</t>
        </is>
      </c>
      <c r="U546" t="n">
        <v>35.98</v>
      </c>
      <c r="V546" t="n">
        <v>6.48</v>
      </c>
      <c r="Y546" s="1" t="n">
        <v>46158.26517361111</v>
      </c>
    </row>
    <row r="547">
      <c r="A547" t="inlineStr">
        <is>
          <t>pay_rAPrCSOGPu89ZQ</t>
        </is>
      </c>
      <c r="B547" t="n">
        <v>3999</v>
      </c>
      <c r="C547" t="inlineStr">
        <is>
          <t>INR</t>
        </is>
      </c>
      <c r="D547" t="inlineStr">
        <is>
          <t>captured</t>
        </is>
      </c>
      <c r="E547" t="inlineStr">
        <is>
          <t>order_Uy2cQW2QhPAzTP</t>
        </is>
      </c>
      <c r="G547" t="n">
        <v>0</v>
      </c>
      <c r="H547" t="inlineStr">
        <is>
          <t>upi</t>
        </is>
      </c>
      <c r="I547" t="n">
        <v>0</v>
      </c>
      <c r="J547" t="n">
        <v>0</v>
      </c>
      <c r="L547" t="n">
        <v>1</v>
      </c>
      <c r="R547" t="inlineStr">
        <is>
          <t>customer64@example.com</t>
        </is>
      </c>
      <c r="S547">
        <f>+919857249165</f>
        <v/>
      </c>
      <c r="T547" t="inlineStr">
        <is>
          <t>[]</t>
        </is>
      </c>
      <c r="U547" t="n">
        <v>79.98</v>
      </c>
      <c r="V547" t="n">
        <v>14.4</v>
      </c>
      <c r="Y547" s="1" t="n">
        <v>46154.4684375</v>
      </c>
    </row>
    <row r="548">
      <c r="A548" t="inlineStr">
        <is>
          <t>pay_IgQMIGOwzYt08I</t>
        </is>
      </c>
      <c r="B548" t="n">
        <v>999</v>
      </c>
      <c r="C548" t="inlineStr">
        <is>
          <t>INR</t>
        </is>
      </c>
      <c r="D548" t="inlineStr">
        <is>
          <t>captured</t>
        </is>
      </c>
      <c r="E548" t="inlineStr">
        <is>
          <t>order_5NPL9Go8qNI7V9</t>
        </is>
      </c>
      <c r="G548" t="n">
        <v>0</v>
      </c>
      <c r="H548" t="inlineStr">
        <is>
          <t>upi</t>
        </is>
      </c>
      <c r="I548" t="n">
        <v>0</v>
      </c>
      <c r="J548" t="n">
        <v>0</v>
      </c>
      <c r="L548" t="n">
        <v>1</v>
      </c>
      <c r="R548" t="inlineStr">
        <is>
          <t>customer647@example.com</t>
        </is>
      </c>
      <c r="S548">
        <f>+919838878772</f>
        <v/>
      </c>
      <c r="T548" t="inlineStr">
        <is>
          <t>[]</t>
        </is>
      </c>
      <c r="U548" t="n">
        <v>19.98</v>
      </c>
      <c r="V548" t="n">
        <v>3.6</v>
      </c>
      <c r="Y548" s="1" t="n">
        <v>46158.90865740741</v>
      </c>
    </row>
    <row r="549">
      <c r="A549" t="inlineStr">
        <is>
          <t>pay_6AycVg4aFviLF3</t>
        </is>
      </c>
      <c r="B549" t="n">
        <v>3999</v>
      </c>
      <c r="C549" t="inlineStr">
        <is>
          <t>INR</t>
        </is>
      </c>
      <c r="D549" t="inlineStr">
        <is>
          <t>captured</t>
        </is>
      </c>
      <c r="E549" t="inlineStr">
        <is>
          <t>order_pc78Qorjv7eg77</t>
        </is>
      </c>
      <c r="G549" t="n">
        <v>0</v>
      </c>
      <c r="H549" t="inlineStr">
        <is>
          <t>upi</t>
        </is>
      </c>
      <c r="I549" t="n">
        <v>0</v>
      </c>
      <c r="J549" t="n">
        <v>0</v>
      </c>
      <c r="L549" t="n">
        <v>1</v>
      </c>
      <c r="R549" t="inlineStr">
        <is>
          <t>customer17@example.com</t>
        </is>
      </c>
      <c r="S549">
        <f>+919836748118</f>
        <v/>
      </c>
      <c r="T549" t="inlineStr">
        <is>
          <t>[]</t>
        </is>
      </c>
      <c r="U549" t="n">
        <v>79.98</v>
      </c>
      <c r="V549" t="n">
        <v>14.4</v>
      </c>
      <c r="Y549" s="1" t="n">
        <v>46165.13663194444</v>
      </c>
    </row>
    <row r="550">
      <c r="A550" t="inlineStr">
        <is>
          <t>pay_ciJlH1EexmQwR7</t>
        </is>
      </c>
      <c r="B550" t="n">
        <v>1499</v>
      </c>
      <c r="C550" t="inlineStr">
        <is>
          <t>INR</t>
        </is>
      </c>
      <c r="D550" t="inlineStr">
        <is>
          <t>captured</t>
        </is>
      </c>
      <c r="E550" t="inlineStr">
        <is>
          <t>order_su6hBT4Zej9RXE</t>
        </is>
      </c>
      <c r="G550" t="n">
        <v>0</v>
      </c>
      <c r="H550" t="inlineStr">
        <is>
          <t>card</t>
        </is>
      </c>
      <c r="I550" t="n">
        <v>0</v>
      </c>
      <c r="J550" t="n">
        <v>0</v>
      </c>
      <c r="L550" t="n">
        <v>1</v>
      </c>
      <c r="R550" t="inlineStr">
        <is>
          <t>customer368@example.com</t>
        </is>
      </c>
      <c r="S550">
        <f>+919825111481</f>
        <v/>
      </c>
      <c r="T550" t="inlineStr">
        <is>
          <t>[]</t>
        </is>
      </c>
      <c r="U550" t="n">
        <v>29.98</v>
      </c>
      <c r="V550" t="n">
        <v>5.4</v>
      </c>
      <c r="Y550" s="1" t="n">
        <v>46144.63636574074</v>
      </c>
    </row>
    <row r="551">
      <c r="A551" t="inlineStr">
        <is>
          <t>pay_LUHtZqkxvraYn8</t>
        </is>
      </c>
      <c r="B551" t="n">
        <v>1499</v>
      </c>
      <c r="C551" t="inlineStr">
        <is>
          <t>INR</t>
        </is>
      </c>
      <c r="D551" t="inlineStr">
        <is>
          <t>captured</t>
        </is>
      </c>
      <c r="E551" t="inlineStr">
        <is>
          <t>order_6GkXfqUSFzeFBj</t>
        </is>
      </c>
      <c r="G551" t="n">
        <v>0</v>
      </c>
      <c r="H551" t="inlineStr">
        <is>
          <t>upi</t>
        </is>
      </c>
      <c r="I551" t="n">
        <v>0</v>
      </c>
      <c r="J551" t="n">
        <v>0</v>
      </c>
      <c r="L551" t="n">
        <v>1</v>
      </c>
      <c r="R551" t="inlineStr">
        <is>
          <t>customer597@example.com</t>
        </is>
      </c>
      <c r="S551">
        <f>+919831852985</f>
        <v/>
      </c>
      <c r="T551" t="inlineStr">
        <is>
          <t>[]</t>
        </is>
      </c>
      <c r="U551" t="n">
        <v>29.98</v>
      </c>
      <c r="V551" t="n">
        <v>5.4</v>
      </c>
      <c r="Y551" s="1" t="n">
        <v>46146.03745370371</v>
      </c>
    </row>
    <row r="552">
      <c r="A552" t="inlineStr">
        <is>
          <t>pay_q2lXq6Nk2on16c</t>
        </is>
      </c>
      <c r="B552" t="n">
        <v>3999</v>
      </c>
      <c r="C552" t="inlineStr">
        <is>
          <t>INR</t>
        </is>
      </c>
      <c r="D552" t="inlineStr">
        <is>
          <t>captured</t>
        </is>
      </c>
      <c r="E552" t="inlineStr">
        <is>
          <t>order_6AKpMNde3bBSps</t>
        </is>
      </c>
      <c r="G552" t="n">
        <v>0</v>
      </c>
      <c r="H552" t="inlineStr">
        <is>
          <t>upi</t>
        </is>
      </c>
      <c r="I552" t="n">
        <v>0</v>
      </c>
      <c r="J552" t="n">
        <v>0</v>
      </c>
      <c r="L552" t="n">
        <v>1</v>
      </c>
      <c r="R552" t="inlineStr">
        <is>
          <t>customer122@example.com</t>
        </is>
      </c>
      <c r="S552">
        <f>+919873901831</f>
        <v/>
      </c>
      <c r="T552" t="inlineStr">
        <is>
          <t>[]</t>
        </is>
      </c>
      <c r="U552" t="n">
        <v>79.98</v>
      </c>
      <c r="V552" t="n">
        <v>14.4</v>
      </c>
      <c r="Y552" s="1" t="n">
        <v>46156.59530092592</v>
      </c>
    </row>
    <row r="553">
      <c r="A553" t="inlineStr">
        <is>
          <t>pay_yNPsDVqsR3lPna</t>
        </is>
      </c>
      <c r="B553" t="n">
        <v>1499</v>
      </c>
      <c r="C553" t="inlineStr">
        <is>
          <t>INR</t>
        </is>
      </c>
      <c r="D553" t="inlineStr">
        <is>
          <t>captured</t>
        </is>
      </c>
      <c r="E553" t="inlineStr">
        <is>
          <t>order_a4gXzo50WiIiH4</t>
        </is>
      </c>
      <c r="G553" t="n">
        <v>0</v>
      </c>
      <c r="H553" t="inlineStr">
        <is>
          <t>netbanking</t>
        </is>
      </c>
      <c r="I553" t="n">
        <v>0</v>
      </c>
      <c r="J553" t="n">
        <v>0</v>
      </c>
      <c r="L553" t="n">
        <v>1</v>
      </c>
      <c r="R553" t="inlineStr">
        <is>
          <t>customer86@example.com</t>
        </is>
      </c>
      <c r="S553">
        <f>+919874954869</f>
        <v/>
      </c>
      <c r="T553" t="inlineStr">
        <is>
          <t>[]</t>
        </is>
      </c>
      <c r="U553" t="n">
        <v>29.98</v>
      </c>
      <c r="V553" t="n">
        <v>5.4</v>
      </c>
      <c r="Y553" s="1" t="n">
        <v>46143.34212962963</v>
      </c>
    </row>
    <row r="554">
      <c r="A554" t="inlineStr">
        <is>
          <t>pay_LPWsCZw2rnEfob</t>
        </is>
      </c>
      <c r="B554" t="n">
        <v>3999</v>
      </c>
      <c r="C554" t="inlineStr">
        <is>
          <t>INR</t>
        </is>
      </c>
      <c r="D554" t="inlineStr">
        <is>
          <t>captured</t>
        </is>
      </c>
      <c r="E554" t="inlineStr">
        <is>
          <t>order_uTPtXAjxpLifkl</t>
        </is>
      </c>
      <c r="G554" t="n">
        <v>0</v>
      </c>
      <c r="H554" t="inlineStr">
        <is>
          <t>upi</t>
        </is>
      </c>
      <c r="I554" t="n">
        <v>0</v>
      </c>
      <c r="J554" t="n">
        <v>0</v>
      </c>
      <c r="L554" t="n">
        <v>1</v>
      </c>
      <c r="R554" t="inlineStr">
        <is>
          <t>customer96@example.com</t>
        </is>
      </c>
      <c r="S554">
        <f>+919819495728</f>
        <v/>
      </c>
      <c r="T554" t="inlineStr">
        <is>
          <t>[]</t>
        </is>
      </c>
      <c r="U554" t="n">
        <v>79.98</v>
      </c>
      <c r="V554" t="n">
        <v>14.4</v>
      </c>
      <c r="Y554" s="1" t="n">
        <v>46150.64806712963</v>
      </c>
    </row>
    <row r="555">
      <c r="A555" t="inlineStr">
        <is>
          <t>pay_uCYLXr1xYptfZQ</t>
        </is>
      </c>
      <c r="B555" t="n">
        <v>3999</v>
      </c>
      <c r="C555" t="inlineStr">
        <is>
          <t>INR</t>
        </is>
      </c>
      <c r="D555" t="inlineStr">
        <is>
          <t>captured</t>
        </is>
      </c>
      <c r="E555" t="inlineStr">
        <is>
          <t>order_dtlJifdGdKMOIj</t>
        </is>
      </c>
      <c r="G555" t="n">
        <v>0</v>
      </c>
      <c r="H555" t="inlineStr">
        <is>
          <t>card</t>
        </is>
      </c>
      <c r="I555" t="n">
        <v>0</v>
      </c>
      <c r="J555" t="n">
        <v>0</v>
      </c>
      <c r="L555" t="n">
        <v>1</v>
      </c>
      <c r="R555" t="inlineStr">
        <is>
          <t>customer671@example.com</t>
        </is>
      </c>
      <c r="S555">
        <f>+919898699682</f>
        <v/>
      </c>
      <c r="T555" t="inlineStr">
        <is>
          <t>[]</t>
        </is>
      </c>
      <c r="U555" t="n">
        <v>79.98</v>
      </c>
      <c r="V555" t="n">
        <v>14.4</v>
      </c>
      <c r="Y555" s="1" t="n">
        <v>46152.21884259259</v>
      </c>
    </row>
    <row r="556">
      <c r="A556" t="inlineStr">
        <is>
          <t>pay_nlRi5IFKp9KYiT</t>
        </is>
      </c>
      <c r="B556" t="n">
        <v>1799</v>
      </c>
      <c r="C556" t="inlineStr">
        <is>
          <t>INR</t>
        </is>
      </c>
      <c r="D556" t="inlineStr">
        <is>
          <t>captured</t>
        </is>
      </c>
      <c r="E556" t="inlineStr">
        <is>
          <t>order_tGWkuwOBap8Kvi</t>
        </is>
      </c>
      <c r="G556" t="n">
        <v>0</v>
      </c>
      <c r="H556" t="inlineStr">
        <is>
          <t>upi</t>
        </is>
      </c>
      <c r="I556" t="n">
        <v>0</v>
      </c>
      <c r="J556" t="n">
        <v>0</v>
      </c>
      <c r="L556" t="n">
        <v>1</v>
      </c>
      <c r="R556" t="inlineStr">
        <is>
          <t>customer869@example.com</t>
        </is>
      </c>
      <c r="S556">
        <f>+919866047631</f>
        <v/>
      </c>
      <c r="T556" t="inlineStr">
        <is>
          <t>[]</t>
        </is>
      </c>
      <c r="U556" t="n">
        <v>35.98</v>
      </c>
      <c r="V556" t="n">
        <v>6.48</v>
      </c>
      <c r="Y556" s="1" t="n">
        <v>46153.27905092593</v>
      </c>
    </row>
    <row r="557">
      <c r="A557" t="inlineStr">
        <is>
          <t>pay_WjQ4ulNkk9xYGa</t>
        </is>
      </c>
      <c r="B557" t="n">
        <v>1799</v>
      </c>
      <c r="C557" t="inlineStr">
        <is>
          <t>INR</t>
        </is>
      </c>
      <c r="D557" t="inlineStr">
        <is>
          <t>captured</t>
        </is>
      </c>
      <c r="E557" t="inlineStr">
        <is>
          <t>order_aysN7fbjHPrF2E</t>
        </is>
      </c>
      <c r="G557" t="n">
        <v>0</v>
      </c>
      <c r="H557" t="inlineStr">
        <is>
          <t>upi</t>
        </is>
      </c>
      <c r="I557" t="n">
        <v>0</v>
      </c>
      <c r="J557" t="n">
        <v>0</v>
      </c>
      <c r="L557" t="n">
        <v>1</v>
      </c>
      <c r="R557" t="inlineStr">
        <is>
          <t>customer561@example.com</t>
        </is>
      </c>
      <c r="S557">
        <f>+919892439283</f>
        <v/>
      </c>
      <c r="T557" t="inlineStr">
        <is>
          <t>[]</t>
        </is>
      </c>
      <c r="U557" t="n">
        <v>35.98</v>
      </c>
      <c r="V557" t="n">
        <v>6.48</v>
      </c>
      <c r="Y557" s="1" t="n">
        <v>46146.85782407408</v>
      </c>
    </row>
    <row r="558">
      <c r="A558" t="inlineStr">
        <is>
          <t>pay_u7GNR1Sjjvw9Ap</t>
        </is>
      </c>
      <c r="B558" t="n">
        <v>2499</v>
      </c>
      <c r="C558" t="inlineStr">
        <is>
          <t>INR</t>
        </is>
      </c>
      <c r="D558" t="inlineStr">
        <is>
          <t>failed</t>
        </is>
      </c>
      <c r="E558" t="inlineStr">
        <is>
          <t>order_RDe0aGmKKyw9Js</t>
        </is>
      </c>
      <c r="G558" t="n">
        <v>0</v>
      </c>
      <c r="H558" t="inlineStr">
        <is>
          <t>upi</t>
        </is>
      </c>
      <c r="I558" t="n">
        <v>0</v>
      </c>
      <c r="J558" t="n">
        <v>0</v>
      </c>
      <c r="L558" t="n">
        <v>0</v>
      </c>
      <c r="R558" t="inlineStr">
        <is>
          <t>customer217@example.com</t>
        </is>
      </c>
      <c r="S558">
        <f>+919812151356</f>
        <v/>
      </c>
      <c r="T558" t="inlineStr">
        <is>
          <t>[]</t>
        </is>
      </c>
      <c r="W558" t="inlineStr">
        <is>
          <t>BAD_REQUEST_ERROR</t>
        </is>
      </c>
      <c r="X558" t="inlineStr">
        <is>
          <t>Payment was not completed on time</t>
        </is>
      </c>
      <c r="Y558" s="1" t="n">
        <v>46158.01902777778</v>
      </c>
    </row>
    <row r="559">
      <c r="A559" t="inlineStr">
        <is>
          <t>pay_8KadK8ddSMYdHz</t>
        </is>
      </c>
      <c r="B559" t="n">
        <v>1799</v>
      </c>
      <c r="C559" t="inlineStr">
        <is>
          <t>INR</t>
        </is>
      </c>
      <c r="D559" t="inlineStr">
        <is>
          <t>captured</t>
        </is>
      </c>
      <c r="E559" t="inlineStr">
        <is>
          <t>order_8SXb55zfCvmRML</t>
        </is>
      </c>
      <c r="G559" t="n">
        <v>0</v>
      </c>
      <c r="H559" t="inlineStr">
        <is>
          <t>netbanking</t>
        </is>
      </c>
      <c r="I559" t="n">
        <v>0</v>
      </c>
      <c r="J559" t="n">
        <v>0</v>
      </c>
      <c r="L559" t="n">
        <v>1</v>
      </c>
      <c r="R559" t="inlineStr">
        <is>
          <t>customer238@example.com</t>
        </is>
      </c>
      <c r="S559">
        <f>+919843319912</f>
        <v/>
      </c>
      <c r="T559" t="inlineStr">
        <is>
          <t>[]</t>
        </is>
      </c>
      <c r="U559" t="n">
        <v>35.98</v>
      </c>
      <c r="V559" t="n">
        <v>6.48</v>
      </c>
      <c r="Y559" s="1" t="n">
        <v>46154.9062962963</v>
      </c>
    </row>
    <row r="560">
      <c r="A560" t="inlineStr">
        <is>
          <t>pay_AjJgV1YrQwxiXB</t>
        </is>
      </c>
      <c r="B560" t="n">
        <v>2499</v>
      </c>
      <c r="C560" t="inlineStr">
        <is>
          <t>INR</t>
        </is>
      </c>
      <c r="D560" t="inlineStr">
        <is>
          <t>captured</t>
        </is>
      </c>
      <c r="E560" t="inlineStr">
        <is>
          <t>order_XI7d3zrF3OTQvW</t>
        </is>
      </c>
      <c r="G560" t="n">
        <v>0</v>
      </c>
      <c r="H560" t="inlineStr">
        <is>
          <t>netbanking</t>
        </is>
      </c>
      <c r="I560" t="n">
        <v>0</v>
      </c>
      <c r="J560" t="n">
        <v>0</v>
      </c>
      <c r="L560" t="n">
        <v>1</v>
      </c>
      <c r="R560" t="inlineStr">
        <is>
          <t>customer204@example.com</t>
        </is>
      </c>
      <c r="S560">
        <f>+919847549892</f>
        <v/>
      </c>
      <c r="T560" t="inlineStr">
        <is>
          <t>[]</t>
        </is>
      </c>
      <c r="U560" t="n">
        <v>49.98</v>
      </c>
      <c r="V560" t="n">
        <v>9</v>
      </c>
      <c r="Y560" s="1" t="n">
        <v>46148.93458333334</v>
      </c>
    </row>
    <row r="561">
      <c r="A561" t="inlineStr">
        <is>
          <t>pay_PU8TEUw7xr4Ojt</t>
        </is>
      </c>
      <c r="B561" t="n">
        <v>999</v>
      </c>
      <c r="C561" t="inlineStr">
        <is>
          <t>INR</t>
        </is>
      </c>
      <c r="D561" t="inlineStr">
        <is>
          <t>captured</t>
        </is>
      </c>
      <c r="E561" t="inlineStr">
        <is>
          <t>order_F09FjXYgQLJg3G</t>
        </is>
      </c>
      <c r="G561" t="n">
        <v>0</v>
      </c>
      <c r="H561" t="inlineStr">
        <is>
          <t>card</t>
        </is>
      </c>
      <c r="I561" t="n">
        <v>0</v>
      </c>
      <c r="J561" t="n">
        <v>0</v>
      </c>
      <c r="L561" t="n">
        <v>1</v>
      </c>
      <c r="R561" t="inlineStr">
        <is>
          <t>customer305@example.com</t>
        </is>
      </c>
      <c r="S561">
        <f>+919830954761</f>
        <v/>
      </c>
      <c r="T561" t="inlineStr">
        <is>
          <t>[]</t>
        </is>
      </c>
      <c r="U561" t="n">
        <v>19.98</v>
      </c>
      <c r="V561" t="n">
        <v>3.6</v>
      </c>
      <c r="Y561" s="1" t="n">
        <v>46159.02259259259</v>
      </c>
    </row>
    <row r="562">
      <c r="A562" t="inlineStr">
        <is>
          <t>pay_Xldb9V80JdxDTw</t>
        </is>
      </c>
      <c r="B562" t="n">
        <v>1499</v>
      </c>
      <c r="C562" t="inlineStr">
        <is>
          <t>INR</t>
        </is>
      </c>
      <c r="D562" t="inlineStr">
        <is>
          <t>captured</t>
        </is>
      </c>
      <c r="E562" t="inlineStr">
        <is>
          <t>order_iVbXKidOLpNxVV</t>
        </is>
      </c>
      <c r="G562" t="n">
        <v>0</v>
      </c>
      <c r="H562" t="inlineStr">
        <is>
          <t>card</t>
        </is>
      </c>
      <c r="I562" t="n">
        <v>0</v>
      </c>
      <c r="J562" t="n">
        <v>0</v>
      </c>
      <c r="L562" t="n">
        <v>1</v>
      </c>
      <c r="R562" t="inlineStr">
        <is>
          <t>customer381@example.com</t>
        </is>
      </c>
      <c r="S562">
        <f>+919885618019</f>
        <v/>
      </c>
      <c r="T562" t="inlineStr">
        <is>
          <t>[]</t>
        </is>
      </c>
      <c r="U562" t="n">
        <v>29.98</v>
      </c>
      <c r="V562" t="n">
        <v>5.4</v>
      </c>
      <c r="Y562" s="1" t="n">
        <v>46159.04012731482</v>
      </c>
    </row>
    <row r="563">
      <c r="A563" t="inlineStr">
        <is>
          <t>pay_WN8UymWO82Ic2p</t>
        </is>
      </c>
      <c r="B563" t="n">
        <v>499</v>
      </c>
      <c r="C563" t="inlineStr">
        <is>
          <t>INR</t>
        </is>
      </c>
      <c r="D563" t="inlineStr">
        <is>
          <t>captured</t>
        </is>
      </c>
      <c r="E563" t="inlineStr">
        <is>
          <t>order_5VKryx5nX1p72O</t>
        </is>
      </c>
      <c r="G563" t="n">
        <v>0</v>
      </c>
      <c r="H563" t="inlineStr">
        <is>
          <t>upi</t>
        </is>
      </c>
      <c r="I563" t="n">
        <v>0</v>
      </c>
      <c r="J563" t="n">
        <v>0</v>
      </c>
      <c r="L563" t="n">
        <v>1</v>
      </c>
      <c r="R563" t="inlineStr">
        <is>
          <t>customer40@example.com</t>
        </is>
      </c>
      <c r="S563">
        <f>+919874519276</f>
        <v/>
      </c>
      <c r="T563" t="inlineStr">
        <is>
          <t>[]</t>
        </is>
      </c>
      <c r="U563" t="n">
        <v>9.98</v>
      </c>
      <c r="V563" t="n">
        <v>1.8</v>
      </c>
      <c r="Y563" s="1" t="n">
        <v>46160.62708333333</v>
      </c>
    </row>
    <row r="564">
      <c r="A564" t="inlineStr">
        <is>
          <t>pay_xXgYB3nmlnlIXj</t>
        </is>
      </c>
      <c r="B564" t="n">
        <v>1799</v>
      </c>
      <c r="C564" t="inlineStr">
        <is>
          <t>INR</t>
        </is>
      </c>
      <c r="D564" t="inlineStr">
        <is>
          <t>captured</t>
        </is>
      </c>
      <c r="E564" t="inlineStr">
        <is>
          <t>order_0Iy6jyvORgDCIM</t>
        </is>
      </c>
      <c r="G564" t="n">
        <v>0</v>
      </c>
      <c r="H564" t="inlineStr">
        <is>
          <t>upi</t>
        </is>
      </c>
      <c r="I564" t="n">
        <v>0</v>
      </c>
      <c r="J564" t="n">
        <v>0</v>
      </c>
      <c r="L564" t="n">
        <v>1</v>
      </c>
      <c r="R564" t="inlineStr">
        <is>
          <t>customer487@example.com</t>
        </is>
      </c>
      <c r="S564">
        <f>+919812434494</f>
        <v/>
      </c>
      <c r="T564" t="inlineStr">
        <is>
          <t>[]</t>
        </is>
      </c>
      <c r="U564" t="n">
        <v>35.98</v>
      </c>
      <c r="V564" t="n">
        <v>6.48</v>
      </c>
      <c r="Y564" s="1" t="n">
        <v>46165.98504629629</v>
      </c>
    </row>
    <row r="565">
      <c r="A565" t="inlineStr">
        <is>
          <t>pay_yvryF9oZ2N3M2h</t>
        </is>
      </c>
      <c r="B565" t="n">
        <v>1499</v>
      </c>
      <c r="C565" t="inlineStr">
        <is>
          <t>INR</t>
        </is>
      </c>
      <c r="D565" t="inlineStr">
        <is>
          <t>captured</t>
        </is>
      </c>
      <c r="E565" t="inlineStr">
        <is>
          <t>order_4Uat1x0IcnhCYF</t>
        </is>
      </c>
      <c r="G565" t="n">
        <v>0</v>
      </c>
      <c r="H565" t="inlineStr">
        <is>
          <t>card</t>
        </is>
      </c>
      <c r="I565" t="n">
        <v>0</v>
      </c>
      <c r="J565" t="n">
        <v>0</v>
      </c>
      <c r="L565" t="n">
        <v>1</v>
      </c>
      <c r="R565" t="inlineStr">
        <is>
          <t>customer422@example.com</t>
        </is>
      </c>
      <c r="S565">
        <f>+919853646282</f>
        <v/>
      </c>
      <c r="T565" t="inlineStr">
        <is>
          <t>[]</t>
        </is>
      </c>
      <c r="U565" t="n">
        <v>29.98</v>
      </c>
      <c r="V565" t="n">
        <v>5.4</v>
      </c>
      <c r="Y565" s="1" t="n">
        <v>46146.85236111111</v>
      </c>
    </row>
    <row r="566">
      <c r="A566" t="inlineStr">
        <is>
          <t>pay_WlIJlRpLanJ80D</t>
        </is>
      </c>
      <c r="B566" t="n">
        <v>499</v>
      </c>
      <c r="C566" t="inlineStr">
        <is>
          <t>INR</t>
        </is>
      </c>
      <c r="D566" t="inlineStr">
        <is>
          <t>captured</t>
        </is>
      </c>
      <c r="E566" t="inlineStr">
        <is>
          <t>order_hgl5KPyeNtmd3T</t>
        </is>
      </c>
      <c r="G566" t="n">
        <v>0</v>
      </c>
      <c r="H566" t="inlineStr">
        <is>
          <t>upi</t>
        </is>
      </c>
      <c r="I566" t="n">
        <v>0</v>
      </c>
      <c r="J566" t="n">
        <v>0</v>
      </c>
      <c r="L566" t="n">
        <v>1</v>
      </c>
      <c r="R566" t="inlineStr">
        <is>
          <t>customer61@example.com</t>
        </is>
      </c>
      <c r="S566">
        <f>+919844103268</f>
        <v/>
      </c>
      <c r="T566" t="inlineStr">
        <is>
          <t>[]</t>
        </is>
      </c>
      <c r="U566" t="n">
        <v>9.98</v>
      </c>
      <c r="V566" t="n">
        <v>1.8</v>
      </c>
      <c r="Y566" s="1" t="n">
        <v>46157.74512731482</v>
      </c>
    </row>
    <row r="567">
      <c r="A567" t="inlineStr">
        <is>
          <t>pay_Z0FiM07cIiKoN1</t>
        </is>
      </c>
      <c r="B567" t="n">
        <v>999</v>
      </c>
      <c r="C567" t="inlineStr">
        <is>
          <t>INR</t>
        </is>
      </c>
      <c r="D567" t="inlineStr">
        <is>
          <t>captured</t>
        </is>
      </c>
      <c r="E567" t="inlineStr">
        <is>
          <t>order_u0NaYkWp7NMr0e</t>
        </is>
      </c>
      <c r="G567" t="n">
        <v>0</v>
      </c>
      <c r="H567" t="inlineStr">
        <is>
          <t>upi</t>
        </is>
      </c>
      <c r="I567" t="n">
        <v>0</v>
      </c>
      <c r="J567" t="n">
        <v>0</v>
      </c>
      <c r="L567" t="n">
        <v>1</v>
      </c>
      <c r="R567" t="inlineStr">
        <is>
          <t>customer169@example.com</t>
        </is>
      </c>
      <c r="S567">
        <f>+919823835563</f>
        <v/>
      </c>
      <c r="T567" t="inlineStr">
        <is>
          <t>[]</t>
        </is>
      </c>
      <c r="U567" t="n">
        <v>19.98</v>
      </c>
      <c r="V567" t="n">
        <v>3.6</v>
      </c>
      <c r="Y567" s="1" t="n">
        <v>46153.815</v>
      </c>
    </row>
    <row r="568">
      <c r="A568" t="inlineStr">
        <is>
          <t>pay_RHsmPzoglS4U78</t>
        </is>
      </c>
      <c r="B568" t="n">
        <v>999</v>
      </c>
      <c r="C568" t="inlineStr">
        <is>
          <t>INR</t>
        </is>
      </c>
      <c r="D568" t="inlineStr">
        <is>
          <t>captured</t>
        </is>
      </c>
      <c r="E568" t="inlineStr">
        <is>
          <t>order_aar05hBQfQ4S64</t>
        </is>
      </c>
      <c r="G568" t="n">
        <v>0</v>
      </c>
      <c r="H568" t="inlineStr">
        <is>
          <t>card</t>
        </is>
      </c>
      <c r="I568" t="n">
        <v>0</v>
      </c>
      <c r="J568" t="n">
        <v>0</v>
      </c>
      <c r="L568" t="n">
        <v>1</v>
      </c>
      <c r="R568" t="inlineStr">
        <is>
          <t>customer489@example.com</t>
        </is>
      </c>
      <c r="S568">
        <f>+919891326703</f>
        <v/>
      </c>
      <c r="T568" t="inlineStr">
        <is>
          <t>[]</t>
        </is>
      </c>
      <c r="U568" t="n">
        <v>19.98</v>
      </c>
      <c r="V568" t="n">
        <v>3.6</v>
      </c>
      <c r="Y568" s="1" t="n">
        <v>46153.53143518518</v>
      </c>
    </row>
    <row r="569">
      <c r="A569" t="inlineStr">
        <is>
          <t>pay_lSvuIySVkcKZQi</t>
        </is>
      </c>
      <c r="B569" t="n">
        <v>999</v>
      </c>
      <c r="C569" t="inlineStr">
        <is>
          <t>INR</t>
        </is>
      </c>
      <c r="D569" t="inlineStr">
        <is>
          <t>captured</t>
        </is>
      </c>
      <c r="E569" t="inlineStr">
        <is>
          <t>order_ANaBicXbl7cBRJ</t>
        </is>
      </c>
      <c r="G569" t="n">
        <v>0</v>
      </c>
      <c r="H569" t="inlineStr">
        <is>
          <t>netbanking</t>
        </is>
      </c>
      <c r="I569" t="n">
        <v>0</v>
      </c>
      <c r="J569" t="n">
        <v>0</v>
      </c>
      <c r="L569" t="n">
        <v>1</v>
      </c>
      <c r="R569" t="inlineStr">
        <is>
          <t>customer393@example.com</t>
        </is>
      </c>
      <c r="S569">
        <f>+919878032618</f>
        <v/>
      </c>
      <c r="T569" t="inlineStr">
        <is>
          <t>[]</t>
        </is>
      </c>
      <c r="U569" t="n">
        <v>19.98</v>
      </c>
      <c r="V569" t="n">
        <v>3.6</v>
      </c>
      <c r="Y569" s="1" t="n">
        <v>46153.60208333333</v>
      </c>
    </row>
    <row r="570">
      <c r="A570" t="inlineStr">
        <is>
          <t>pay_XIo5ewtkmWNegV</t>
        </is>
      </c>
      <c r="B570" t="n">
        <v>999</v>
      </c>
      <c r="C570" t="inlineStr">
        <is>
          <t>INR</t>
        </is>
      </c>
      <c r="D570" t="inlineStr">
        <is>
          <t>captured</t>
        </is>
      </c>
      <c r="E570" t="inlineStr">
        <is>
          <t>order_bBOrgOiLUIfEIU</t>
        </is>
      </c>
      <c r="G570" t="n">
        <v>0</v>
      </c>
      <c r="H570" t="inlineStr">
        <is>
          <t>upi</t>
        </is>
      </c>
      <c r="I570" t="n">
        <v>0</v>
      </c>
      <c r="J570" t="n">
        <v>0</v>
      </c>
      <c r="L570" t="n">
        <v>1</v>
      </c>
      <c r="R570" t="inlineStr">
        <is>
          <t>customer531@example.com</t>
        </is>
      </c>
      <c r="S570">
        <f>+919882803993</f>
        <v/>
      </c>
      <c r="T570" t="inlineStr">
        <is>
          <t>[]</t>
        </is>
      </c>
      <c r="U570" t="n">
        <v>19.98</v>
      </c>
      <c r="V570" t="n">
        <v>3.6</v>
      </c>
      <c r="Y570" s="1" t="n">
        <v>46159.01671296296</v>
      </c>
    </row>
    <row r="571">
      <c r="A571" t="inlineStr">
        <is>
          <t>pay_lDEqsd26Yle62U</t>
        </is>
      </c>
      <c r="B571" t="n">
        <v>1499</v>
      </c>
      <c r="C571" t="inlineStr">
        <is>
          <t>INR</t>
        </is>
      </c>
      <c r="D571" t="inlineStr">
        <is>
          <t>captured</t>
        </is>
      </c>
      <c r="E571" t="inlineStr">
        <is>
          <t>order_NR83r3Y5tR3SVj</t>
        </is>
      </c>
      <c r="G571" t="n">
        <v>0</v>
      </c>
      <c r="H571" t="inlineStr">
        <is>
          <t>upi</t>
        </is>
      </c>
      <c r="I571" t="n">
        <v>0</v>
      </c>
      <c r="J571" t="n">
        <v>0</v>
      </c>
      <c r="L571" t="n">
        <v>1</v>
      </c>
      <c r="R571" t="inlineStr">
        <is>
          <t>customer678@example.com</t>
        </is>
      </c>
      <c r="S571">
        <f>+919886973653</f>
        <v/>
      </c>
      <c r="T571" t="inlineStr">
        <is>
          <t>[]</t>
        </is>
      </c>
      <c r="U571" t="n">
        <v>29.98</v>
      </c>
      <c r="V571" t="n">
        <v>5.4</v>
      </c>
      <c r="Y571" s="1" t="n">
        <v>46150.12055555556</v>
      </c>
    </row>
    <row r="572">
      <c r="A572" t="inlineStr">
        <is>
          <t>pay_tj1X34CCCiMBzf</t>
        </is>
      </c>
      <c r="B572" t="n">
        <v>1799</v>
      </c>
      <c r="C572" t="inlineStr">
        <is>
          <t>INR</t>
        </is>
      </c>
      <c r="D572" t="inlineStr">
        <is>
          <t>failed</t>
        </is>
      </c>
      <c r="E572" t="inlineStr">
        <is>
          <t>order_JR566ZjSSGBxxz</t>
        </is>
      </c>
      <c r="G572" t="n">
        <v>0</v>
      </c>
      <c r="H572" t="inlineStr">
        <is>
          <t>card</t>
        </is>
      </c>
      <c r="I572" t="n">
        <v>0</v>
      </c>
      <c r="J572" t="n">
        <v>0</v>
      </c>
      <c r="L572" t="n">
        <v>0</v>
      </c>
      <c r="R572" t="inlineStr">
        <is>
          <t>customer79@example.com</t>
        </is>
      </c>
      <c r="S572">
        <f>+919832568363</f>
        <v/>
      </c>
      <c r="T572" t="inlineStr">
        <is>
          <t>[]</t>
        </is>
      </c>
      <c r="W572" t="inlineStr">
        <is>
          <t>BAD_REQUEST_ERROR</t>
        </is>
      </c>
      <c r="X572" t="inlineStr">
        <is>
          <t>Payment failed due to incorrect OTP</t>
        </is>
      </c>
      <c r="Y572" s="1" t="n">
        <v>46171.67803240741</v>
      </c>
    </row>
    <row r="573">
      <c r="A573" t="inlineStr">
        <is>
          <t>pay_08enJosclg4dWZ</t>
        </is>
      </c>
      <c r="B573" t="n">
        <v>999</v>
      </c>
      <c r="C573" t="inlineStr">
        <is>
          <t>INR</t>
        </is>
      </c>
      <c r="D573" t="inlineStr">
        <is>
          <t>captured</t>
        </is>
      </c>
      <c r="E573" t="inlineStr">
        <is>
          <t>order_9PzLCKj4b5uXeF</t>
        </is>
      </c>
      <c r="G573" t="n">
        <v>0</v>
      </c>
      <c r="H573" t="inlineStr">
        <is>
          <t>upi</t>
        </is>
      </c>
      <c r="I573" t="n">
        <v>0</v>
      </c>
      <c r="J573" t="n">
        <v>0</v>
      </c>
      <c r="L573" t="n">
        <v>1</v>
      </c>
      <c r="R573" t="inlineStr">
        <is>
          <t>customer519@example.com</t>
        </is>
      </c>
      <c r="S573">
        <f>+919823838377</f>
        <v/>
      </c>
      <c r="T573" t="inlineStr">
        <is>
          <t>[]</t>
        </is>
      </c>
      <c r="U573" t="n">
        <v>19.98</v>
      </c>
      <c r="V573" t="n">
        <v>3.6</v>
      </c>
      <c r="Y573" s="1" t="n">
        <v>46165.25864583333</v>
      </c>
    </row>
    <row r="574">
      <c r="A574" t="inlineStr">
        <is>
          <t>pay_PLNyFENcb9YXOZ</t>
        </is>
      </c>
      <c r="B574" t="n">
        <v>1499</v>
      </c>
      <c r="C574" t="inlineStr">
        <is>
          <t>INR</t>
        </is>
      </c>
      <c r="D574" t="inlineStr">
        <is>
          <t>captured</t>
        </is>
      </c>
      <c r="E574" t="inlineStr">
        <is>
          <t>order_36Q5oIuI2jFehv</t>
        </is>
      </c>
      <c r="G574" t="n">
        <v>0</v>
      </c>
      <c r="H574" t="inlineStr">
        <is>
          <t>upi</t>
        </is>
      </c>
      <c r="I574" t="n">
        <v>0</v>
      </c>
      <c r="J574" t="n">
        <v>0</v>
      </c>
      <c r="L574" t="n">
        <v>1</v>
      </c>
      <c r="R574" t="inlineStr">
        <is>
          <t>customer65@example.com</t>
        </is>
      </c>
      <c r="S574">
        <f>+919888845180</f>
        <v/>
      </c>
      <c r="T574" t="inlineStr">
        <is>
          <t>[]</t>
        </is>
      </c>
      <c r="U574" t="n">
        <v>29.98</v>
      </c>
      <c r="V574" t="n">
        <v>5.4</v>
      </c>
      <c r="Y574" s="1" t="n">
        <v>46147.26795138889</v>
      </c>
    </row>
    <row r="575">
      <c r="A575" t="inlineStr">
        <is>
          <t>pay_qJx0WSIGAU9PGd</t>
        </is>
      </c>
      <c r="B575" t="n">
        <v>2499</v>
      </c>
      <c r="C575" t="inlineStr">
        <is>
          <t>INR</t>
        </is>
      </c>
      <c r="D575" t="inlineStr">
        <is>
          <t>captured</t>
        </is>
      </c>
      <c r="E575" t="inlineStr">
        <is>
          <t>order_dSU1I3CE22lkl8</t>
        </is>
      </c>
      <c r="G575" t="n">
        <v>0</v>
      </c>
      <c r="H575" t="inlineStr">
        <is>
          <t>upi</t>
        </is>
      </c>
      <c r="I575" t="n">
        <v>0</v>
      </c>
      <c r="J575" t="n">
        <v>0</v>
      </c>
      <c r="L575" t="n">
        <v>1</v>
      </c>
      <c r="R575" t="inlineStr">
        <is>
          <t>customer391@example.com</t>
        </is>
      </c>
      <c r="S575">
        <f>+919897825644</f>
        <v/>
      </c>
      <c r="T575" t="inlineStr">
        <is>
          <t>[]</t>
        </is>
      </c>
      <c r="U575" t="n">
        <v>49.98</v>
      </c>
      <c r="V575" t="n">
        <v>9</v>
      </c>
      <c r="Y575" s="1" t="n">
        <v>46156.58476851852</v>
      </c>
    </row>
    <row r="576">
      <c r="A576" t="inlineStr">
        <is>
          <t>pay_dH6m50WLvhie3T</t>
        </is>
      </c>
      <c r="B576" t="n">
        <v>1499</v>
      </c>
      <c r="C576" t="inlineStr">
        <is>
          <t>INR</t>
        </is>
      </c>
      <c r="D576" t="inlineStr">
        <is>
          <t>captured</t>
        </is>
      </c>
      <c r="E576" t="inlineStr">
        <is>
          <t>order_KqSm3D4ccdFfHi</t>
        </is>
      </c>
      <c r="G576" t="n">
        <v>0</v>
      </c>
      <c r="H576" t="inlineStr">
        <is>
          <t>upi</t>
        </is>
      </c>
      <c r="I576" t="n">
        <v>0</v>
      </c>
      <c r="J576" t="n">
        <v>0</v>
      </c>
      <c r="L576" t="n">
        <v>1</v>
      </c>
      <c r="R576" t="inlineStr">
        <is>
          <t>customer424@example.com</t>
        </is>
      </c>
      <c r="S576">
        <f>+919864212432</f>
        <v/>
      </c>
      <c r="T576" t="inlineStr">
        <is>
          <t>[]</t>
        </is>
      </c>
      <c r="U576" t="n">
        <v>29.98</v>
      </c>
      <c r="V576" t="n">
        <v>5.4</v>
      </c>
      <c r="Y576" s="1" t="n">
        <v>46150.02935185185</v>
      </c>
    </row>
    <row r="577">
      <c r="A577" t="inlineStr">
        <is>
          <t>pay_OALHBTXceFVTRv</t>
        </is>
      </c>
      <c r="B577" t="n">
        <v>1499</v>
      </c>
      <c r="C577" t="inlineStr">
        <is>
          <t>INR</t>
        </is>
      </c>
      <c r="D577" t="inlineStr">
        <is>
          <t>captured</t>
        </is>
      </c>
      <c r="E577" t="inlineStr">
        <is>
          <t>order_Qd6qwxCPqKDoYh</t>
        </is>
      </c>
      <c r="G577" t="n">
        <v>0</v>
      </c>
      <c r="H577" t="inlineStr">
        <is>
          <t>upi</t>
        </is>
      </c>
      <c r="I577" t="n">
        <v>0</v>
      </c>
      <c r="J577" t="n">
        <v>0</v>
      </c>
      <c r="L577" t="n">
        <v>1</v>
      </c>
      <c r="R577" t="inlineStr">
        <is>
          <t>customer540@example.com</t>
        </is>
      </c>
      <c r="S577">
        <f>+919885604503</f>
        <v/>
      </c>
      <c r="T577" t="inlineStr">
        <is>
          <t>[]</t>
        </is>
      </c>
      <c r="U577" t="n">
        <v>29.98</v>
      </c>
      <c r="V577" t="n">
        <v>5.4</v>
      </c>
      <c r="Y577" s="1" t="n">
        <v>46147.69988425926</v>
      </c>
    </row>
    <row r="578">
      <c r="A578" t="inlineStr">
        <is>
          <t>pay_niNEsSxkEudmhb</t>
        </is>
      </c>
      <c r="B578" t="n">
        <v>499</v>
      </c>
      <c r="C578" t="inlineStr">
        <is>
          <t>INR</t>
        </is>
      </c>
      <c r="D578" t="inlineStr">
        <is>
          <t>captured</t>
        </is>
      </c>
      <c r="E578" t="inlineStr">
        <is>
          <t>order_PbGBE0SLDQOpBk</t>
        </is>
      </c>
      <c r="G578" t="n">
        <v>0</v>
      </c>
      <c r="H578" t="inlineStr">
        <is>
          <t>upi</t>
        </is>
      </c>
      <c r="I578" t="n">
        <v>0</v>
      </c>
      <c r="J578" t="n">
        <v>0</v>
      </c>
      <c r="L578" t="n">
        <v>1</v>
      </c>
      <c r="R578" t="inlineStr">
        <is>
          <t>customer896@example.com</t>
        </is>
      </c>
      <c r="S578">
        <f>+919883570062</f>
        <v/>
      </c>
      <c r="T578" t="inlineStr">
        <is>
          <t>[]</t>
        </is>
      </c>
      <c r="U578" t="n">
        <v>9.98</v>
      </c>
      <c r="V578" t="n">
        <v>1.8</v>
      </c>
      <c r="Y578" s="1" t="n">
        <v>46166.36408564815</v>
      </c>
    </row>
    <row r="579">
      <c r="A579" t="inlineStr">
        <is>
          <t>pay_CWorfy4gyc6FIq</t>
        </is>
      </c>
      <c r="B579" t="n">
        <v>1799</v>
      </c>
      <c r="C579" t="inlineStr">
        <is>
          <t>INR</t>
        </is>
      </c>
      <c r="D579" t="inlineStr">
        <is>
          <t>captured</t>
        </is>
      </c>
      <c r="E579" t="inlineStr">
        <is>
          <t>order_Qt4ebUiKkvvGiN</t>
        </is>
      </c>
      <c r="G579" t="n">
        <v>0</v>
      </c>
      <c r="H579" t="inlineStr">
        <is>
          <t>netbanking</t>
        </is>
      </c>
      <c r="I579" t="n">
        <v>0</v>
      </c>
      <c r="J579" t="n">
        <v>0</v>
      </c>
      <c r="L579" t="n">
        <v>1</v>
      </c>
      <c r="R579" t="inlineStr">
        <is>
          <t>customer602@example.com</t>
        </is>
      </c>
      <c r="S579">
        <f>+919894819695</f>
        <v/>
      </c>
      <c r="T579" t="inlineStr">
        <is>
          <t>[]</t>
        </is>
      </c>
      <c r="U579" t="n">
        <v>35.98</v>
      </c>
      <c r="V579" t="n">
        <v>6.48</v>
      </c>
      <c r="Y579" s="1" t="n">
        <v>46155.53125</v>
      </c>
    </row>
    <row r="580">
      <c r="A580" t="inlineStr">
        <is>
          <t>pay_HapIpBpnSayJAI</t>
        </is>
      </c>
      <c r="B580" t="n">
        <v>499</v>
      </c>
      <c r="C580" t="inlineStr">
        <is>
          <t>INR</t>
        </is>
      </c>
      <c r="D580" t="inlineStr">
        <is>
          <t>captured</t>
        </is>
      </c>
      <c r="E580" t="inlineStr">
        <is>
          <t>order_rzUKS6PUrT1Qr5</t>
        </is>
      </c>
      <c r="G580" t="n">
        <v>0</v>
      </c>
      <c r="H580" t="inlineStr">
        <is>
          <t>upi</t>
        </is>
      </c>
      <c r="I580" t="n">
        <v>0</v>
      </c>
      <c r="J580" t="n">
        <v>0</v>
      </c>
      <c r="L580" t="n">
        <v>1</v>
      </c>
      <c r="R580" t="inlineStr">
        <is>
          <t>customer71@example.com</t>
        </is>
      </c>
      <c r="S580">
        <f>+919813925816</f>
        <v/>
      </c>
      <c r="T580" t="inlineStr">
        <is>
          <t>[]</t>
        </is>
      </c>
      <c r="U580" t="n">
        <v>9.98</v>
      </c>
      <c r="V580" t="n">
        <v>1.8</v>
      </c>
      <c r="Y580" s="1" t="n">
        <v>46143.67244212963</v>
      </c>
    </row>
    <row r="581">
      <c r="A581" t="inlineStr">
        <is>
          <t>pay_n4aQUXMlYVvxtS</t>
        </is>
      </c>
      <c r="B581" t="n">
        <v>1499</v>
      </c>
      <c r="C581" t="inlineStr">
        <is>
          <t>INR</t>
        </is>
      </c>
      <c r="D581" t="inlineStr">
        <is>
          <t>failed</t>
        </is>
      </c>
      <c r="E581" t="inlineStr">
        <is>
          <t>order_Oo6Z7dix8r6aA4</t>
        </is>
      </c>
      <c r="G581" t="n">
        <v>0</v>
      </c>
      <c r="H581" t="inlineStr">
        <is>
          <t>upi</t>
        </is>
      </c>
      <c r="I581" t="n">
        <v>0</v>
      </c>
      <c r="J581" t="n">
        <v>0</v>
      </c>
      <c r="L581" t="n">
        <v>0</v>
      </c>
      <c r="R581" t="inlineStr">
        <is>
          <t>customer93@example.com</t>
        </is>
      </c>
      <c r="S581">
        <f>+919876310689</f>
        <v/>
      </c>
      <c r="T581" t="inlineStr">
        <is>
          <t>[]</t>
        </is>
      </c>
      <c r="W581" t="inlineStr">
        <is>
          <t>BAD_REQUEST_ERROR</t>
        </is>
      </c>
      <c r="X581" t="inlineStr">
        <is>
          <t>Payment was not completed on time</t>
        </is>
      </c>
      <c r="Y581" s="1" t="n">
        <v>46152.31677083333</v>
      </c>
    </row>
    <row r="582">
      <c r="A582" t="inlineStr">
        <is>
          <t>pay_KwfeW3iKBbqEjs</t>
        </is>
      </c>
      <c r="B582" t="n">
        <v>499</v>
      </c>
      <c r="C582" t="inlineStr">
        <is>
          <t>INR</t>
        </is>
      </c>
      <c r="D582" t="inlineStr">
        <is>
          <t>failed</t>
        </is>
      </c>
      <c r="E582" t="inlineStr">
        <is>
          <t>order_qN5sCZmuxFkgzo</t>
        </is>
      </c>
      <c r="G582" t="n">
        <v>0</v>
      </c>
      <c r="H582" t="inlineStr">
        <is>
          <t>upi</t>
        </is>
      </c>
      <c r="I582" t="n">
        <v>0</v>
      </c>
      <c r="J582" t="n">
        <v>0</v>
      </c>
      <c r="L582" t="n">
        <v>0</v>
      </c>
      <c r="R582" t="inlineStr">
        <is>
          <t>customer190@example.com</t>
        </is>
      </c>
      <c r="S582">
        <f>+919889510998</f>
        <v/>
      </c>
      <c r="T582" t="inlineStr">
        <is>
          <t>[]</t>
        </is>
      </c>
      <c r="W582" t="inlineStr">
        <is>
          <t>BAD_REQUEST_ERROR</t>
        </is>
      </c>
      <c r="X582" t="inlineStr">
        <is>
          <t>UPI app declined the request</t>
        </is>
      </c>
      <c r="Y582" s="1" t="n">
        <v>46164.29557870371</v>
      </c>
    </row>
    <row r="583">
      <c r="A583" t="inlineStr">
        <is>
          <t>pay_bGxNrmEDDNROh2</t>
        </is>
      </c>
      <c r="B583" t="n">
        <v>999</v>
      </c>
      <c r="C583" t="inlineStr">
        <is>
          <t>INR</t>
        </is>
      </c>
      <c r="D583" t="inlineStr">
        <is>
          <t>failed</t>
        </is>
      </c>
      <c r="E583" t="inlineStr">
        <is>
          <t>order_DDglOCC52IMX8L</t>
        </is>
      </c>
      <c r="G583" t="n">
        <v>0</v>
      </c>
      <c r="H583" t="inlineStr">
        <is>
          <t>card</t>
        </is>
      </c>
      <c r="I583" t="n">
        <v>0</v>
      </c>
      <c r="J583" t="n">
        <v>0</v>
      </c>
      <c r="L583" t="n">
        <v>0</v>
      </c>
      <c r="R583" t="inlineStr">
        <is>
          <t>customer520@example.com</t>
        </is>
      </c>
      <c r="S583">
        <f>+919848069455</f>
        <v/>
      </c>
      <c r="T583" t="inlineStr">
        <is>
          <t>[]</t>
        </is>
      </c>
      <c r="W583" t="inlineStr">
        <is>
          <t>BAD_REQUEST_ERROR</t>
        </is>
      </c>
      <c r="X583" t="inlineStr">
        <is>
          <t>Card declined by bank</t>
        </is>
      </c>
      <c r="Y583" s="1" t="n">
        <v>46163.33365740741</v>
      </c>
    </row>
    <row r="584">
      <c r="A584" t="inlineStr">
        <is>
          <t>pay_t0rOTPyCbswJlU</t>
        </is>
      </c>
      <c r="B584" t="n">
        <v>1499</v>
      </c>
      <c r="C584" t="inlineStr">
        <is>
          <t>INR</t>
        </is>
      </c>
      <c r="D584" t="inlineStr">
        <is>
          <t>captured</t>
        </is>
      </c>
      <c r="E584" t="inlineStr">
        <is>
          <t>order_hur450FUG7Ca9C</t>
        </is>
      </c>
      <c r="G584" t="n">
        <v>0</v>
      </c>
      <c r="H584" t="inlineStr">
        <is>
          <t>netbanking</t>
        </is>
      </c>
      <c r="I584" t="n">
        <v>0</v>
      </c>
      <c r="J584" t="n">
        <v>0</v>
      </c>
      <c r="L584" t="n">
        <v>1</v>
      </c>
      <c r="R584" t="inlineStr">
        <is>
          <t>customer881@example.com</t>
        </is>
      </c>
      <c r="S584">
        <f>+919834685277</f>
        <v/>
      </c>
      <c r="T584" t="inlineStr">
        <is>
          <t>[]</t>
        </is>
      </c>
      <c r="U584" t="n">
        <v>29.98</v>
      </c>
      <c r="V584" t="n">
        <v>5.4</v>
      </c>
      <c r="Y584" s="1" t="n">
        <v>46164.96524305556</v>
      </c>
    </row>
    <row r="585">
      <c r="A585" t="inlineStr">
        <is>
          <t>pay_Bmw72IXISb15RZ</t>
        </is>
      </c>
      <c r="B585" t="n">
        <v>1499</v>
      </c>
      <c r="C585" t="inlineStr">
        <is>
          <t>INR</t>
        </is>
      </c>
      <c r="D585" t="inlineStr">
        <is>
          <t>captured</t>
        </is>
      </c>
      <c r="E585" t="inlineStr">
        <is>
          <t>order_ldEYu1F9kvDZJA</t>
        </is>
      </c>
      <c r="G585" t="n">
        <v>0</v>
      </c>
      <c r="H585" t="inlineStr">
        <is>
          <t>card</t>
        </is>
      </c>
      <c r="I585" t="n">
        <v>0</v>
      </c>
      <c r="J585" t="n">
        <v>0</v>
      </c>
      <c r="L585" t="n">
        <v>1</v>
      </c>
      <c r="R585" t="inlineStr">
        <is>
          <t>customer605@example.com</t>
        </is>
      </c>
      <c r="S585">
        <f>+919843505194</f>
        <v/>
      </c>
      <c r="T585" t="inlineStr">
        <is>
          <t>[]</t>
        </is>
      </c>
      <c r="U585" t="n">
        <v>29.98</v>
      </c>
      <c r="V585" t="n">
        <v>5.4</v>
      </c>
      <c r="Y585" s="1" t="n">
        <v>46170.96928240741</v>
      </c>
    </row>
    <row r="586">
      <c r="A586" t="inlineStr">
        <is>
          <t>pay_Tl2vYMs3rVWDrb</t>
        </is>
      </c>
      <c r="B586" t="n">
        <v>499</v>
      </c>
      <c r="C586" t="inlineStr">
        <is>
          <t>INR</t>
        </is>
      </c>
      <c r="D586" t="inlineStr">
        <is>
          <t>captured</t>
        </is>
      </c>
      <c r="E586" t="inlineStr">
        <is>
          <t>order_vnfzvDf89BgDoL</t>
        </is>
      </c>
      <c r="G586" t="n">
        <v>0</v>
      </c>
      <c r="H586" t="inlineStr">
        <is>
          <t>card</t>
        </is>
      </c>
      <c r="I586" t="n">
        <v>0</v>
      </c>
      <c r="J586" t="n">
        <v>0</v>
      </c>
      <c r="L586" t="n">
        <v>1</v>
      </c>
      <c r="R586" t="inlineStr">
        <is>
          <t>customer674@example.com</t>
        </is>
      </c>
      <c r="S586">
        <f>+919866502932</f>
        <v/>
      </c>
      <c r="T586" t="inlineStr">
        <is>
          <t>[]</t>
        </is>
      </c>
      <c r="U586" t="n">
        <v>9.98</v>
      </c>
      <c r="V586" t="n">
        <v>1.8</v>
      </c>
      <c r="Y586" s="1" t="n">
        <v>46155.86164351852</v>
      </c>
    </row>
    <row r="587">
      <c r="A587" t="inlineStr">
        <is>
          <t>pay_y2iHDH0pIkEehI</t>
        </is>
      </c>
      <c r="B587" t="n">
        <v>2499</v>
      </c>
      <c r="C587" t="inlineStr">
        <is>
          <t>INR</t>
        </is>
      </c>
      <c r="D587" t="inlineStr">
        <is>
          <t>captured</t>
        </is>
      </c>
      <c r="E587" t="inlineStr">
        <is>
          <t>order_q83DUgXWLsRc71</t>
        </is>
      </c>
      <c r="G587" t="n">
        <v>0</v>
      </c>
      <c r="H587" t="inlineStr">
        <is>
          <t>upi</t>
        </is>
      </c>
      <c r="I587" t="n">
        <v>0</v>
      </c>
      <c r="J587" t="n">
        <v>0</v>
      </c>
      <c r="L587" t="n">
        <v>1</v>
      </c>
      <c r="R587" t="inlineStr">
        <is>
          <t>customer755@example.com</t>
        </is>
      </c>
      <c r="S587">
        <f>+919884153212</f>
        <v/>
      </c>
      <c r="T587" t="inlineStr">
        <is>
          <t>[]</t>
        </is>
      </c>
      <c r="U587" t="n">
        <v>49.98</v>
      </c>
      <c r="V587" t="n">
        <v>9</v>
      </c>
      <c r="Y587" s="1" t="n">
        <v>46161.17100694445</v>
      </c>
    </row>
    <row r="588">
      <c r="A588" t="inlineStr">
        <is>
          <t>pay_nTfdGTTKON1uvC</t>
        </is>
      </c>
      <c r="B588" t="n">
        <v>499</v>
      </c>
      <c r="C588" t="inlineStr">
        <is>
          <t>INR</t>
        </is>
      </c>
      <c r="D588" t="inlineStr">
        <is>
          <t>captured</t>
        </is>
      </c>
      <c r="E588" t="inlineStr">
        <is>
          <t>order_NZ0cUbSCevpTwA</t>
        </is>
      </c>
      <c r="G588" t="n">
        <v>0</v>
      </c>
      <c r="H588" t="inlineStr">
        <is>
          <t>card</t>
        </is>
      </c>
      <c r="I588" t="n">
        <v>0</v>
      </c>
      <c r="J588" t="n">
        <v>0</v>
      </c>
      <c r="L588" t="n">
        <v>1</v>
      </c>
      <c r="R588" t="inlineStr">
        <is>
          <t>customer348@example.com</t>
        </is>
      </c>
      <c r="S588">
        <f>+919815987793</f>
        <v/>
      </c>
      <c r="T588" t="inlineStr">
        <is>
          <t>[]</t>
        </is>
      </c>
      <c r="U588" t="n">
        <v>9.98</v>
      </c>
      <c r="V588" t="n">
        <v>1.8</v>
      </c>
      <c r="Y588" s="1" t="n">
        <v>46143.5991087963</v>
      </c>
    </row>
    <row r="589">
      <c r="A589" t="inlineStr">
        <is>
          <t>pay_LQbqPbZHxAZrAN</t>
        </is>
      </c>
      <c r="B589" t="n">
        <v>1499</v>
      </c>
      <c r="C589" t="inlineStr">
        <is>
          <t>INR</t>
        </is>
      </c>
      <c r="D589" t="inlineStr">
        <is>
          <t>captured</t>
        </is>
      </c>
      <c r="E589" t="inlineStr">
        <is>
          <t>order_MDUww0wbG0NCsB</t>
        </is>
      </c>
      <c r="G589" t="n">
        <v>0</v>
      </c>
      <c r="H589" t="inlineStr">
        <is>
          <t>upi</t>
        </is>
      </c>
      <c r="I589" t="n">
        <v>0</v>
      </c>
      <c r="J589" t="n">
        <v>0</v>
      </c>
      <c r="L589" t="n">
        <v>1</v>
      </c>
      <c r="R589" t="inlineStr">
        <is>
          <t>customer340@example.com</t>
        </is>
      </c>
      <c r="S589">
        <f>+919874584245</f>
        <v/>
      </c>
      <c r="T589" t="inlineStr">
        <is>
          <t>[]</t>
        </is>
      </c>
      <c r="U589" t="n">
        <v>29.98</v>
      </c>
      <c r="V589" t="n">
        <v>5.4</v>
      </c>
      <c r="Y589" s="1" t="n">
        <v>46150.64555555556</v>
      </c>
    </row>
    <row r="590">
      <c r="A590" t="inlineStr">
        <is>
          <t>pay_uZqB3RUMhVSwI8</t>
        </is>
      </c>
      <c r="B590" t="n">
        <v>2499</v>
      </c>
      <c r="C590" t="inlineStr">
        <is>
          <t>INR</t>
        </is>
      </c>
      <c r="D590" t="inlineStr">
        <is>
          <t>captured</t>
        </is>
      </c>
      <c r="E590" t="inlineStr">
        <is>
          <t>order_Z5Fzk2bSKSagFq</t>
        </is>
      </c>
      <c r="G590" t="n">
        <v>0</v>
      </c>
      <c r="H590" t="inlineStr">
        <is>
          <t>card</t>
        </is>
      </c>
      <c r="I590" t="n">
        <v>0</v>
      </c>
      <c r="J590" t="n">
        <v>0</v>
      </c>
      <c r="L590" t="n">
        <v>1</v>
      </c>
      <c r="R590" t="inlineStr">
        <is>
          <t>customer740@example.com</t>
        </is>
      </c>
      <c r="S590">
        <f>+919888565906</f>
        <v/>
      </c>
      <c r="T590" t="inlineStr">
        <is>
          <t>[]</t>
        </is>
      </c>
      <c r="U590" t="n">
        <v>49.98</v>
      </c>
      <c r="V590" t="n">
        <v>9</v>
      </c>
      <c r="Y590" s="1" t="n">
        <v>46165.61363425926</v>
      </c>
    </row>
    <row r="591">
      <c r="A591" t="inlineStr">
        <is>
          <t>pay_L8RUsZWqmBFHBn</t>
        </is>
      </c>
      <c r="B591" t="n">
        <v>1499</v>
      </c>
      <c r="C591" t="inlineStr">
        <is>
          <t>INR</t>
        </is>
      </c>
      <c r="D591" t="inlineStr">
        <is>
          <t>failed</t>
        </is>
      </c>
      <c r="E591" t="inlineStr">
        <is>
          <t>order_7RNJgeMutqpzhs</t>
        </is>
      </c>
      <c r="G591" t="n">
        <v>0</v>
      </c>
      <c r="H591" t="inlineStr">
        <is>
          <t>upi</t>
        </is>
      </c>
      <c r="I591" t="n">
        <v>0</v>
      </c>
      <c r="J591" t="n">
        <v>0</v>
      </c>
      <c r="L591" t="n">
        <v>0</v>
      </c>
      <c r="R591" t="inlineStr">
        <is>
          <t>customer616@example.com</t>
        </is>
      </c>
      <c r="S591">
        <f>+919874381956</f>
        <v/>
      </c>
      <c r="T591" t="inlineStr">
        <is>
          <t>[]</t>
        </is>
      </c>
      <c r="W591" t="inlineStr">
        <is>
          <t>BAD_REQUEST_ERROR</t>
        </is>
      </c>
      <c r="X591" t="inlineStr">
        <is>
          <t>Payment was not completed on time</t>
        </is>
      </c>
      <c r="Y591" s="1" t="n">
        <v>46143.55371527778</v>
      </c>
    </row>
    <row r="592">
      <c r="A592" t="inlineStr">
        <is>
          <t>pay_v1fcRCoIDQzwJH</t>
        </is>
      </c>
      <c r="B592" t="n">
        <v>1799</v>
      </c>
      <c r="C592" t="inlineStr">
        <is>
          <t>INR</t>
        </is>
      </c>
      <c r="D592" t="inlineStr">
        <is>
          <t>failed</t>
        </is>
      </c>
      <c r="E592" t="inlineStr">
        <is>
          <t>order_0mUswGis3y2mqG</t>
        </is>
      </c>
      <c r="G592" t="n">
        <v>0</v>
      </c>
      <c r="H592" t="inlineStr">
        <is>
          <t>card</t>
        </is>
      </c>
      <c r="I592" t="n">
        <v>0</v>
      </c>
      <c r="J592" t="n">
        <v>0</v>
      </c>
      <c r="L592" t="n">
        <v>0</v>
      </c>
      <c r="R592" t="inlineStr">
        <is>
          <t>customer345@example.com</t>
        </is>
      </c>
      <c r="S592">
        <f>+919839973877</f>
        <v/>
      </c>
      <c r="T592" t="inlineStr">
        <is>
          <t>[]</t>
        </is>
      </c>
      <c r="W592" t="inlineStr">
        <is>
          <t>BAD_REQUEST_ERROR</t>
        </is>
      </c>
      <c r="X592" t="inlineStr">
        <is>
          <t>Payment failed due to incorrect OTP</t>
        </is>
      </c>
      <c r="Y592" s="1" t="n">
        <v>46144.63790509259</v>
      </c>
    </row>
    <row r="593">
      <c r="A593" t="inlineStr">
        <is>
          <t>pay_QMfKphvWhduJEW</t>
        </is>
      </c>
      <c r="B593" t="n">
        <v>1799</v>
      </c>
      <c r="C593" t="inlineStr">
        <is>
          <t>INR</t>
        </is>
      </c>
      <c r="D593" t="inlineStr">
        <is>
          <t>captured</t>
        </is>
      </c>
      <c r="E593" t="inlineStr">
        <is>
          <t>order_0mUswGis3y2mqG</t>
        </is>
      </c>
      <c r="G593" t="n">
        <v>0</v>
      </c>
      <c r="H593" t="inlineStr">
        <is>
          <t>card</t>
        </is>
      </c>
      <c r="I593" t="n">
        <v>0</v>
      </c>
      <c r="J593" t="n">
        <v>0</v>
      </c>
      <c r="L593" t="n">
        <v>1</v>
      </c>
      <c r="R593" t="inlineStr">
        <is>
          <t>customer478@example.com</t>
        </is>
      </c>
      <c r="S593">
        <f>+919813387508</f>
        <v/>
      </c>
      <c r="T593" t="inlineStr">
        <is>
          <t>[]</t>
        </is>
      </c>
      <c r="U593" t="n">
        <v>35.98</v>
      </c>
      <c r="V593" t="n">
        <v>6.48</v>
      </c>
      <c r="Y593" s="1" t="n">
        <v>46144.64393518519</v>
      </c>
    </row>
    <row r="594">
      <c r="A594" t="inlineStr">
        <is>
          <t>pay_4tJvvfaWq6e0Z0</t>
        </is>
      </c>
      <c r="B594" t="n">
        <v>1499</v>
      </c>
      <c r="C594" t="inlineStr">
        <is>
          <t>INR</t>
        </is>
      </c>
      <c r="D594" t="inlineStr">
        <is>
          <t>captured</t>
        </is>
      </c>
      <c r="E594" t="inlineStr">
        <is>
          <t>order_p5bFsgm9g5uSxb</t>
        </is>
      </c>
      <c r="G594" t="n">
        <v>0</v>
      </c>
      <c r="H594" t="inlineStr">
        <is>
          <t>upi</t>
        </is>
      </c>
      <c r="I594" t="n">
        <v>0</v>
      </c>
      <c r="J594" t="n">
        <v>0</v>
      </c>
      <c r="L594" t="n">
        <v>1</v>
      </c>
      <c r="R594" t="inlineStr">
        <is>
          <t>customer524@example.com</t>
        </is>
      </c>
      <c r="S594">
        <f>+919863027393</f>
        <v/>
      </c>
      <c r="T594" t="inlineStr">
        <is>
          <t>[]</t>
        </is>
      </c>
      <c r="U594" t="n">
        <v>29.98</v>
      </c>
      <c r="V594" t="n">
        <v>5.4</v>
      </c>
      <c r="Y594" s="1" t="n">
        <v>46148.70670138889</v>
      </c>
    </row>
    <row r="595">
      <c r="A595" t="inlineStr">
        <is>
          <t>pay_dJ1GjwSm6QLaJW</t>
        </is>
      </c>
      <c r="B595" t="n">
        <v>2499</v>
      </c>
      <c r="C595" t="inlineStr">
        <is>
          <t>INR</t>
        </is>
      </c>
      <c r="D595" t="inlineStr">
        <is>
          <t>captured</t>
        </is>
      </c>
      <c r="E595" t="inlineStr">
        <is>
          <t>order_YtHabQSjaYWJTc</t>
        </is>
      </c>
      <c r="G595" t="n">
        <v>0</v>
      </c>
      <c r="H595" t="inlineStr">
        <is>
          <t>upi</t>
        </is>
      </c>
      <c r="I595" t="n">
        <v>0</v>
      </c>
      <c r="J595" t="n">
        <v>0</v>
      </c>
      <c r="L595" t="n">
        <v>1</v>
      </c>
      <c r="R595" t="inlineStr">
        <is>
          <t>customer254@example.com</t>
        </is>
      </c>
      <c r="S595">
        <f>+919849030823</f>
        <v/>
      </c>
      <c r="T595" t="inlineStr">
        <is>
          <t>[]</t>
        </is>
      </c>
      <c r="U595" t="n">
        <v>49.98</v>
      </c>
      <c r="V595" t="n">
        <v>9</v>
      </c>
      <c r="Y595" s="1" t="n">
        <v>46145.91775462963</v>
      </c>
    </row>
    <row r="596">
      <c r="A596" t="inlineStr">
        <is>
          <t>pay_LzdBUW9i3aIR3W</t>
        </is>
      </c>
      <c r="B596" t="n">
        <v>1799</v>
      </c>
      <c r="C596" t="inlineStr">
        <is>
          <t>INR</t>
        </is>
      </c>
      <c r="D596" t="inlineStr">
        <is>
          <t>captured</t>
        </is>
      </c>
      <c r="E596" t="inlineStr">
        <is>
          <t>order_7TwFOpFFiRlO5K</t>
        </is>
      </c>
      <c r="G596" t="n">
        <v>0</v>
      </c>
      <c r="H596" t="inlineStr">
        <is>
          <t>upi</t>
        </is>
      </c>
      <c r="I596" t="n">
        <v>0</v>
      </c>
      <c r="J596" t="n">
        <v>0</v>
      </c>
      <c r="L596" t="n">
        <v>1</v>
      </c>
      <c r="R596" t="inlineStr">
        <is>
          <t>customer753@example.com</t>
        </is>
      </c>
      <c r="S596">
        <f>+919871029414</f>
        <v/>
      </c>
      <c r="T596" t="inlineStr">
        <is>
          <t>[]</t>
        </is>
      </c>
      <c r="U596" t="n">
        <v>35.98</v>
      </c>
      <c r="V596" t="n">
        <v>6.48</v>
      </c>
      <c r="Y596" s="1" t="n">
        <v>46159.21565972222</v>
      </c>
    </row>
    <row r="597">
      <c r="A597" t="inlineStr">
        <is>
          <t>pay_uXHme274XGZndL</t>
        </is>
      </c>
      <c r="B597" t="n">
        <v>1799</v>
      </c>
      <c r="C597" t="inlineStr">
        <is>
          <t>INR</t>
        </is>
      </c>
      <c r="D597" t="inlineStr">
        <is>
          <t>captured</t>
        </is>
      </c>
      <c r="E597" t="inlineStr">
        <is>
          <t>order_VUQroiquzkPYHA</t>
        </is>
      </c>
      <c r="G597" t="n">
        <v>0</v>
      </c>
      <c r="H597" t="inlineStr">
        <is>
          <t>upi</t>
        </is>
      </c>
      <c r="I597" t="n">
        <v>0</v>
      </c>
      <c r="J597" t="n">
        <v>0</v>
      </c>
      <c r="L597" t="n">
        <v>1</v>
      </c>
      <c r="R597" t="inlineStr">
        <is>
          <t>customer548@example.com</t>
        </is>
      </c>
      <c r="S597">
        <f>+919856522350</f>
        <v/>
      </c>
      <c r="T597" t="inlineStr">
        <is>
          <t>[]</t>
        </is>
      </c>
      <c r="U597" t="n">
        <v>35.98</v>
      </c>
      <c r="V597" t="n">
        <v>6.48</v>
      </c>
      <c r="Y597" s="1" t="n">
        <v>46156.61266203703</v>
      </c>
    </row>
    <row r="598">
      <c r="A598" t="inlineStr">
        <is>
          <t>pay_eTWdtMEERec7wE</t>
        </is>
      </c>
      <c r="B598" t="n">
        <v>1499</v>
      </c>
      <c r="C598" t="inlineStr">
        <is>
          <t>INR</t>
        </is>
      </c>
      <c r="D598" t="inlineStr">
        <is>
          <t>captured</t>
        </is>
      </c>
      <c r="E598" t="inlineStr">
        <is>
          <t>order_9hzLf1Te7xymUQ</t>
        </is>
      </c>
      <c r="G598" t="n">
        <v>0</v>
      </c>
      <c r="H598" t="inlineStr">
        <is>
          <t>upi</t>
        </is>
      </c>
      <c r="I598" t="n">
        <v>0</v>
      </c>
      <c r="J598" t="n">
        <v>0</v>
      </c>
      <c r="L598" t="n">
        <v>1</v>
      </c>
      <c r="R598" t="inlineStr">
        <is>
          <t>customer484@example.com</t>
        </is>
      </c>
      <c r="S598">
        <f>+919835416242</f>
        <v/>
      </c>
      <c r="T598" t="inlineStr">
        <is>
          <t>[]</t>
        </is>
      </c>
      <c r="U598" t="n">
        <v>29.98</v>
      </c>
      <c r="V598" t="n">
        <v>5.4</v>
      </c>
      <c r="Y598" s="1" t="n">
        <v>46166.5759837963</v>
      </c>
    </row>
    <row r="599">
      <c r="A599" t="inlineStr">
        <is>
          <t>pay_RFRLZd1XBpf05T</t>
        </is>
      </c>
      <c r="B599" t="n">
        <v>2499</v>
      </c>
      <c r="C599" t="inlineStr">
        <is>
          <t>INR</t>
        </is>
      </c>
      <c r="D599" t="inlineStr">
        <is>
          <t>captured</t>
        </is>
      </c>
      <c r="E599" t="inlineStr">
        <is>
          <t>order_fBd7WkeGQfkVwv</t>
        </is>
      </c>
      <c r="G599" t="n">
        <v>0</v>
      </c>
      <c r="H599" t="inlineStr">
        <is>
          <t>card</t>
        </is>
      </c>
      <c r="I599" t="n">
        <v>0</v>
      </c>
      <c r="J599" t="n">
        <v>0</v>
      </c>
      <c r="L599" t="n">
        <v>1</v>
      </c>
      <c r="R599" t="inlineStr">
        <is>
          <t>customer480@example.com</t>
        </is>
      </c>
      <c r="S599">
        <f>+919894359603</f>
        <v/>
      </c>
      <c r="T599" t="inlineStr">
        <is>
          <t>[]</t>
        </is>
      </c>
      <c r="U599" t="n">
        <v>49.98</v>
      </c>
      <c r="V599" t="n">
        <v>9</v>
      </c>
      <c r="Y599" s="1" t="n">
        <v>46147.54752314815</v>
      </c>
    </row>
    <row r="600">
      <c r="A600" t="inlineStr">
        <is>
          <t>pay_qDBBpXhHuhN3NC</t>
        </is>
      </c>
      <c r="B600" t="n">
        <v>1499</v>
      </c>
      <c r="C600" t="inlineStr">
        <is>
          <t>INR</t>
        </is>
      </c>
      <c r="D600" t="inlineStr">
        <is>
          <t>captured</t>
        </is>
      </c>
      <c r="E600" t="inlineStr">
        <is>
          <t>order_t4RyYfNhTyY1Jz</t>
        </is>
      </c>
      <c r="G600" t="n">
        <v>0</v>
      </c>
      <c r="H600" t="inlineStr">
        <is>
          <t>upi</t>
        </is>
      </c>
      <c r="I600" t="n">
        <v>0</v>
      </c>
      <c r="J600" t="n">
        <v>0</v>
      </c>
      <c r="L600" t="n">
        <v>1</v>
      </c>
      <c r="R600" t="inlineStr">
        <is>
          <t>customer335@example.com</t>
        </is>
      </c>
      <c r="S600">
        <f>+919844873743</f>
        <v/>
      </c>
      <c r="T600" t="inlineStr">
        <is>
          <t>[]</t>
        </is>
      </c>
      <c r="U600" t="n">
        <v>29.98</v>
      </c>
      <c r="V600" t="n">
        <v>5.4</v>
      </c>
      <c r="Y600" s="1" t="n">
        <v>46147.77013888889</v>
      </c>
    </row>
    <row r="601">
      <c r="A601" t="inlineStr">
        <is>
          <t>pay_OiJ7S7GhMAC7LG</t>
        </is>
      </c>
      <c r="B601" t="n">
        <v>1499</v>
      </c>
      <c r="C601" t="inlineStr">
        <is>
          <t>INR</t>
        </is>
      </c>
      <c r="D601" t="inlineStr">
        <is>
          <t>captured</t>
        </is>
      </c>
      <c r="E601" t="inlineStr">
        <is>
          <t>order_3Bmk6pw1jmPYKg</t>
        </is>
      </c>
      <c r="G601" t="n">
        <v>0</v>
      </c>
      <c r="H601" t="inlineStr">
        <is>
          <t>card</t>
        </is>
      </c>
      <c r="I601" t="n">
        <v>0</v>
      </c>
      <c r="J601" t="n">
        <v>0</v>
      </c>
      <c r="L601" t="n">
        <v>1</v>
      </c>
      <c r="R601" t="inlineStr">
        <is>
          <t>customer235@example.com</t>
        </is>
      </c>
      <c r="S601">
        <f>+919817467975</f>
        <v/>
      </c>
      <c r="T601" t="inlineStr">
        <is>
          <t>[]</t>
        </is>
      </c>
      <c r="U601" t="n">
        <v>29.98</v>
      </c>
      <c r="V601" t="n">
        <v>5.4</v>
      </c>
      <c r="Y601" s="1" t="n">
        <v>46151.21923611111</v>
      </c>
    </row>
    <row r="602">
      <c r="A602" t="inlineStr">
        <is>
          <t>pay_d5iJzo6I9QhIRD</t>
        </is>
      </c>
      <c r="B602" t="n">
        <v>999</v>
      </c>
      <c r="C602" t="inlineStr">
        <is>
          <t>INR</t>
        </is>
      </c>
      <c r="D602" t="inlineStr">
        <is>
          <t>captured</t>
        </is>
      </c>
      <c r="E602" t="inlineStr">
        <is>
          <t>order_ApefLUCh7uONUI</t>
        </is>
      </c>
      <c r="G602" t="n">
        <v>0</v>
      </c>
      <c r="H602" t="inlineStr">
        <is>
          <t>netbanking</t>
        </is>
      </c>
      <c r="I602" t="n">
        <v>0</v>
      </c>
      <c r="J602" t="n">
        <v>0</v>
      </c>
      <c r="L602" t="n">
        <v>1</v>
      </c>
      <c r="R602" t="inlineStr">
        <is>
          <t>customer160@example.com</t>
        </is>
      </c>
      <c r="S602">
        <f>+919861261882</f>
        <v/>
      </c>
      <c r="T602" t="inlineStr">
        <is>
          <t>[]</t>
        </is>
      </c>
      <c r="U602" t="n">
        <v>19.98</v>
      </c>
      <c r="V602" t="n">
        <v>3.6</v>
      </c>
      <c r="Y602" s="1" t="n">
        <v>46172.1253125</v>
      </c>
    </row>
    <row r="603">
      <c r="A603" t="inlineStr">
        <is>
          <t>pay_j8pWyaCHKAc442</t>
        </is>
      </c>
      <c r="B603" t="n">
        <v>999</v>
      </c>
      <c r="C603" t="inlineStr">
        <is>
          <t>INR</t>
        </is>
      </c>
      <c r="D603" t="inlineStr">
        <is>
          <t>captured</t>
        </is>
      </c>
      <c r="E603" t="inlineStr">
        <is>
          <t>order_nInUmyn4Ea3IF5</t>
        </is>
      </c>
      <c r="G603" t="n">
        <v>0</v>
      </c>
      <c r="H603" t="inlineStr">
        <is>
          <t>card</t>
        </is>
      </c>
      <c r="I603" t="n">
        <v>0</v>
      </c>
      <c r="J603" t="n">
        <v>0</v>
      </c>
      <c r="L603" t="n">
        <v>1</v>
      </c>
      <c r="R603" t="inlineStr">
        <is>
          <t>customer804@example.com</t>
        </is>
      </c>
      <c r="S603">
        <f>+919871778142</f>
        <v/>
      </c>
      <c r="T603" t="inlineStr">
        <is>
          <t>[]</t>
        </is>
      </c>
      <c r="U603" t="n">
        <v>19.98</v>
      </c>
      <c r="V603" t="n">
        <v>3.6</v>
      </c>
      <c r="Y603" s="1" t="n">
        <v>46152.71246527778</v>
      </c>
    </row>
    <row r="604">
      <c r="A604" t="inlineStr">
        <is>
          <t>pay_DIe7oyracGzaiU</t>
        </is>
      </c>
      <c r="B604" t="n">
        <v>999</v>
      </c>
      <c r="C604" t="inlineStr">
        <is>
          <t>INR</t>
        </is>
      </c>
      <c r="D604" t="inlineStr">
        <is>
          <t>captured</t>
        </is>
      </c>
      <c r="E604" t="inlineStr">
        <is>
          <t>order_zeYrqGPR4SJ3O7</t>
        </is>
      </c>
      <c r="G604" t="n">
        <v>0</v>
      </c>
      <c r="H604" t="inlineStr">
        <is>
          <t>upi</t>
        </is>
      </c>
      <c r="I604" t="n">
        <v>0</v>
      </c>
      <c r="J604" t="n">
        <v>0</v>
      </c>
      <c r="L604" t="n">
        <v>1</v>
      </c>
      <c r="R604" t="inlineStr">
        <is>
          <t>customer46@example.com</t>
        </is>
      </c>
      <c r="S604">
        <f>+919851827191</f>
        <v/>
      </c>
      <c r="T604" t="inlineStr">
        <is>
          <t>[]</t>
        </is>
      </c>
      <c r="U604" t="n">
        <v>19.98</v>
      </c>
      <c r="V604" t="n">
        <v>3.6</v>
      </c>
      <c r="Y604" s="1" t="n">
        <v>46146.79422453704</v>
      </c>
    </row>
    <row r="605">
      <c r="A605" t="inlineStr">
        <is>
          <t>pay_4wsmMai8DX7yWe</t>
        </is>
      </c>
      <c r="B605" t="n">
        <v>1499</v>
      </c>
      <c r="C605" t="inlineStr">
        <is>
          <t>INR</t>
        </is>
      </c>
      <c r="D605" t="inlineStr">
        <is>
          <t>failed</t>
        </is>
      </c>
      <c r="E605" t="inlineStr">
        <is>
          <t>order_HQsToEHxGWHgiz</t>
        </is>
      </c>
      <c r="G605" t="n">
        <v>0</v>
      </c>
      <c r="H605" t="inlineStr">
        <is>
          <t>upi</t>
        </is>
      </c>
      <c r="I605" t="n">
        <v>0</v>
      </c>
      <c r="J605" t="n">
        <v>0</v>
      </c>
      <c r="L605" t="n">
        <v>0</v>
      </c>
      <c r="R605" t="inlineStr">
        <is>
          <t>customer498@example.com</t>
        </is>
      </c>
      <c r="S605">
        <f>+919826732827</f>
        <v/>
      </c>
      <c r="T605" t="inlineStr">
        <is>
          <t>[]</t>
        </is>
      </c>
      <c r="W605" t="inlineStr">
        <is>
          <t>BAD_REQUEST_ERROR</t>
        </is>
      </c>
      <c r="X605" t="inlineStr">
        <is>
          <t>Payment was not completed on time</t>
        </is>
      </c>
      <c r="Y605" s="1" t="n">
        <v>46158.6115162037</v>
      </c>
    </row>
    <row r="606">
      <c r="A606" t="inlineStr">
        <is>
          <t>pay_EqzLT1s68aClBf</t>
        </is>
      </c>
      <c r="B606" t="n">
        <v>499</v>
      </c>
      <c r="C606" t="inlineStr">
        <is>
          <t>INR</t>
        </is>
      </c>
      <c r="D606" t="inlineStr">
        <is>
          <t>captured</t>
        </is>
      </c>
      <c r="E606" t="inlineStr">
        <is>
          <t>order_ZsZKp1oKc92pj0</t>
        </is>
      </c>
      <c r="G606" t="n">
        <v>0</v>
      </c>
      <c r="H606" t="inlineStr">
        <is>
          <t>upi</t>
        </is>
      </c>
      <c r="I606" t="n">
        <v>0</v>
      </c>
      <c r="J606" t="n">
        <v>0</v>
      </c>
      <c r="L606" t="n">
        <v>1</v>
      </c>
      <c r="R606" t="inlineStr">
        <is>
          <t>customer467@example.com</t>
        </is>
      </c>
      <c r="S606">
        <f>+919811733950</f>
        <v/>
      </c>
      <c r="T606" t="inlineStr">
        <is>
          <t>[]</t>
        </is>
      </c>
      <c r="U606" t="n">
        <v>9.98</v>
      </c>
      <c r="V606" t="n">
        <v>1.8</v>
      </c>
      <c r="Y606" s="1" t="n">
        <v>46172.58451388889</v>
      </c>
    </row>
    <row r="607">
      <c r="A607" t="inlineStr">
        <is>
          <t>pay_7Tkc1xInMG6r5n</t>
        </is>
      </c>
      <c r="B607" t="n">
        <v>1499</v>
      </c>
      <c r="C607" t="inlineStr">
        <is>
          <t>INR</t>
        </is>
      </c>
      <c r="D607" t="inlineStr">
        <is>
          <t>captured</t>
        </is>
      </c>
      <c r="E607" t="inlineStr">
        <is>
          <t>order_J77oKEg0CNyvh4</t>
        </is>
      </c>
      <c r="G607" t="n">
        <v>0</v>
      </c>
      <c r="H607" t="inlineStr">
        <is>
          <t>card</t>
        </is>
      </c>
      <c r="I607" t="n">
        <v>0</v>
      </c>
      <c r="J607" t="n">
        <v>0</v>
      </c>
      <c r="L607" t="n">
        <v>1</v>
      </c>
      <c r="R607" t="inlineStr">
        <is>
          <t>customer855@example.com</t>
        </is>
      </c>
      <c r="S607">
        <f>+919836870709</f>
        <v/>
      </c>
      <c r="T607" t="inlineStr">
        <is>
          <t>[]</t>
        </is>
      </c>
      <c r="U607" t="n">
        <v>29.98</v>
      </c>
      <c r="V607" t="n">
        <v>5.4</v>
      </c>
      <c r="Y607" s="1" t="n">
        <v>46153.20564814815</v>
      </c>
    </row>
    <row r="608">
      <c r="A608" t="inlineStr">
        <is>
          <t>pay_x5wQjWeHFYVB1S</t>
        </is>
      </c>
      <c r="B608" t="n">
        <v>1799</v>
      </c>
      <c r="C608" t="inlineStr">
        <is>
          <t>INR</t>
        </is>
      </c>
      <c r="D608" t="inlineStr">
        <is>
          <t>captured</t>
        </is>
      </c>
      <c r="E608" t="inlineStr">
        <is>
          <t>order_nZlY5ZqBWekQDV</t>
        </is>
      </c>
      <c r="G608" t="n">
        <v>0</v>
      </c>
      <c r="H608" t="inlineStr">
        <is>
          <t>card</t>
        </is>
      </c>
      <c r="I608" t="n">
        <v>0</v>
      </c>
      <c r="J608" t="n">
        <v>0</v>
      </c>
      <c r="L608" t="n">
        <v>1</v>
      </c>
      <c r="R608" t="inlineStr">
        <is>
          <t>customer310@example.com</t>
        </is>
      </c>
      <c r="S608">
        <f>+919881271766</f>
        <v/>
      </c>
      <c r="T608" t="inlineStr">
        <is>
          <t>[]</t>
        </is>
      </c>
      <c r="U608" t="n">
        <v>35.98</v>
      </c>
      <c r="V608" t="n">
        <v>6.48</v>
      </c>
      <c r="Y608" s="1" t="n">
        <v>46165.1418287037</v>
      </c>
    </row>
    <row r="609">
      <c r="A609" t="inlineStr">
        <is>
          <t>pay_PF84ZWYzcehFvQ</t>
        </is>
      </c>
      <c r="B609" t="n">
        <v>1799</v>
      </c>
      <c r="C609" t="inlineStr">
        <is>
          <t>INR</t>
        </is>
      </c>
      <c r="D609" t="inlineStr">
        <is>
          <t>captured</t>
        </is>
      </c>
      <c r="E609" t="inlineStr">
        <is>
          <t>order_4Go47nxT6zfweY</t>
        </is>
      </c>
      <c r="G609" t="n">
        <v>0</v>
      </c>
      <c r="H609" t="inlineStr">
        <is>
          <t>upi</t>
        </is>
      </c>
      <c r="I609" t="n">
        <v>0</v>
      </c>
      <c r="J609" t="n">
        <v>0</v>
      </c>
      <c r="L609" t="n">
        <v>1</v>
      </c>
      <c r="R609" t="inlineStr">
        <is>
          <t>customer609@example.com</t>
        </is>
      </c>
      <c r="S609">
        <f>+919854149060</f>
        <v/>
      </c>
      <c r="T609" t="inlineStr">
        <is>
          <t>[]</t>
        </is>
      </c>
      <c r="U609" t="n">
        <v>35.98</v>
      </c>
      <c r="V609" t="n">
        <v>6.48</v>
      </c>
      <c r="Y609" s="1" t="n">
        <v>46164.50165509259</v>
      </c>
    </row>
    <row r="610">
      <c r="A610" t="inlineStr">
        <is>
          <t>pay_Xmf87wK4tyF2eK</t>
        </is>
      </c>
      <c r="B610" t="n">
        <v>1799</v>
      </c>
      <c r="C610" t="inlineStr">
        <is>
          <t>INR</t>
        </is>
      </c>
      <c r="D610" t="inlineStr">
        <is>
          <t>failed</t>
        </is>
      </c>
      <c r="E610" t="inlineStr">
        <is>
          <t>order_dNP4gYjX0uabHj</t>
        </is>
      </c>
      <c r="G610" t="n">
        <v>0</v>
      </c>
      <c r="H610" t="inlineStr">
        <is>
          <t>card</t>
        </is>
      </c>
      <c r="I610" t="n">
        <v>0</v>
      </c>
      <c r="J610" t="n">
        <v>0</v>
      </c>
      <c r="L610" t="n">
        <v>0</v>
      </c>
      <c r="R610" t="inlineStr">
        <is>
          <t>customer540@example.com</t>
        </is>
      </c>
      <c r="S610">
        <f>+919862677639</f>
        <v/>
      </c>
      <c r="T610" t="inlineStr">
        <is>
          <t>[]</t>
        </is>
      </c>
      <c r="W610" t="inlineStr">
        <is>
          <t>BAD_REQUEST_ERROR</t>
        </is>
      </c>
      <c r="X610" t="inlineStr">
        <is>
          <t>Payment failed due to incorrect OTP</t>
        </is>
      </c>
      <c r="Y610" s="1" t="n">
        <v>46171.44012731482</v>
      </c>
    </row>
    <row r="611">
      <c r="A611" t="inlineStr">
        <is>
          <t>pay_TDwuNnNBdpdfok</t>
        </is>
      </c>
      <c r="B611" t="n">
        <v>1799</v>
      </c>
      <c r="C611" t="inlineStr">
        <is>
          <t>INR</t>
        </is>
      </c>
      <c r="D611" t="inlineStr">
        <is>
          <t>captured</t>
        </is>
      </c>
      <c r="E611" t="inlineStr">
        <is>
          <t>order_dNP4gYjX0uabHj</t>
        </is>
      </c>
      <c r="G611" t="n">
        <v>0</v>
      </c>
      <c r="H611" t="inlineStr">
        <is>
          <t>card</t>
        </is>
      </c>
      <c r="I611" t="n">
        <v>0</v>
      </c>
      <c r="J611" t="n">
        <v>0</v>
      </c>
      <c r="L611" t="n">
        <v>1</v>
      </c>
      <c r="R611" t="inlineStr">
        <is>
          <t>customer590@example.com</t>
        </is>
      </c>
      <c r="S611">
        <f>+919845740800</f>
        <v/>
      </c>
      <c r="T611" t="inlineStr">
        <is>
          <t>[]</t>
        </is>
      </c>
      <c r="U611" t="n">
        <v>35.98</v>
      </c>
      <c r="V611" t="n">
        <v>6.48</v>
      </c>
      <c r="Y611" s="1" t="n">
        <v>46171.44163194444</v>
      </c>
    </row>
    <row r="612">
      <c r="A612" t="inlineStr">
        <is>
          <t>pay_IfC8gsJtGgOC60</t>
        </is>
      </c>
      <c r="B612" t="n">
        <v>2499</v>
      </c>
      <c r="C612" t="inlineStr">
        <is>
          <t>INR</t>
        </is>
      </c>
      <c r="D612" t="inlineStr">
        <is>
          <t>captured</t>
        </is>
      </c>
      <c r="E612" t="inlineStr">
        <is>
          <t>order_EkN0ONRSPVXYGk</t>
        </is>
      </c>
      <c r="G612" t="n">
        <v>0</v>
      </c>
      <c r="H612" t="inlineStr">
        <is>
          <t>upi</t>
        </is>
      </c>
      <c r="I612" t="n">
        <v>0</v>
      </c>
      <c r="J612" t="n">
        <v>0</v>
      </c>
      <c r="L612" t="n">
        <v>1</v>
      </c>
      <c r="R612" t="inlineStr">
        <is>
          <t>customer167@example.com</t>
        </is>
      </c>
      <c r="S612">
        <f>+919893870728</f>
        <v/>
      </c>
      <c r="T612" t="inlineStr">
        <is>
          <t>[]</t>
        </is>
      </c>
      <c r="U612" t="n">
        <v>49.98</v>
      </c>
      <c r="V612" t="n">
        <v>9</v>
      </c>
      <c r="Y612" s="1" t="n">
        <v>46160.95203703704</v>
      </c>
    </row>
    <row r="613">
      <c r="A613" t="inlineStr">
        <is>
          <t>pay_2gjQBKmc8feUD4</t>
        </is>
      </c>
      <c r="B613" t="n">
        <v>499</v>
      </c>
      <c r="C613" t="inlineStr">
        <is>
          <t>INR</t>
        </is>
      </c>
      <c r="D613" t="inlineStr">
        <is>
          <t>failed</t>
        </is>
      </c>
      <c r="E613" t="inlineStr">
        <is>
          <t>order_f3qHnJ1aaPiWOP</t>
        </is>
      </c>
      <c r="G613" t="n">
        <v>0</v>
      </c>
      <c r="H613" t="inlineStr">
        <is>
          <t>card</t>
        </is>
      </c>
      <c r="I613" t="n">
        <v>0</v>
      </c>
      <c r="J613" t="n">
        <v>0</v>
      </c>
      <c r="L613" t="n">
        <v>0</v>
      </c>
      <c r="R613" t="inlineStr">
        <is>
          <t>customer359@example.com</t>
        </is>
      </c>
      <c r="S613">
        <f>+919852801983</f>
        <v/>
      </c>
      <c r="T613" t="inlineStr">
        <is>
          <t>[]</t>
        </is>
      </c>
      <c r="W613" t="inlineStr">
        <is>
          <t>BAD_REQUEST_ERROR</t>
        </is>
      </c>
      <c r="X613" t="inlineStr">
        <is>
          <t>Payment cancelled by user</t>
        </is>
      </c>
      <c r="Y613" s="1" t="n">
        <v>46147.58158564815</v>
      </c>
    </row>
    <row r="614">
      <c r="A614" t="inlineStr">
        <is>
          <t>pay_NFS6k8bbHluFHq</t>
        </is>
      </c>
      <c r="B614" t="n">
        <v>499</v>
      </c>
      <c r="C614" t="inlineStr">
        <is>
          <t>INR</t>
        </is>
      </c>
      <c r="D614" t="inlineStr">
        <is>
          <t>captured</t>
        </is>
      </c>
      <c r="E614" t="inlineStr">
        <is>
          <t>order_f3qHnJ1aaPiWOP</t>
        </is>
      </c>
      <c r="G614" t="n">
        <v>0</v>
      </c>
      <c r="H614" t="inlineStr">
        <is>
          <t>card</t>
        </is>
      </c>
      <c r="I614" t="n">
        <v>0</v>
      </c>
      <c r="J614" t="n">
        <v>0</v>
      </c>
      <c r="L614" t="n">
        <v>1</v>
      </c>
      <c r="R614" t="inlineStr">
        <is>
          <t>customer124@example.com</t>
        </is>
      </c>
      <c r="S614">
        <f>+919837515733</f>
        <v/>
      </c>
      <c r="T614" t="inlineStr">
        <is>
          <t>[]</t>
        </is>
      </c>
      <c r="U614" t="n">
        <v>9.98</v>
      </c>
      <c r="V614" t="n">
        <v>1.8</v>
      </c>
      <c r="Y614" s="1" t="n">
        <v>46147.58696759259</v>
      </c>
    </row>
    <row r="615">
      <c r="A615" t="inlineStr">
        <is>
          <t>pay_Qd10OrxM1JBMXe</t>
        </is>
      </c>
      <c r="B615" t="n">
        <v>2499</v>
      </c>
      <c r="C615" t="inlineStr">
        <is>
          <t>INR</t>
        </is>
      </c>
      <c r="D615" t="inlineStr">
        <is>
          <t>failed</t>
        </is>
      </c>
      <c r="E615" t="inlineStr">
        <is>
          <t>order_0a6RcD4zIs8ukV</t>
        </is>
      </c>
      <c r="G615" t="n">
        <v>0</v>
      </c>
      <c r="H615" t="inlineStr">
        <is>
          <t>upi</t>
        </is>
      </c>
      <c r="I615" t="n">
        <v>0</v>
      </c>
      <c r="J615" t="n">
        <v>0</v>
      </c>
      <c r="L615" t="n">
        <v>0</v>
      </c>
      <c r="R615" t="inlineStr">
        <is>
          <t>customer512@example.com</t>
        </is>
      </c>
      <c r="S615">
        <f>+919885164186</f>
        <v/>
      </c>
      <c r="T615" t="inlineStr">
        <is>
          <t>[]</t>
        </is>
      </c>
      <c r="W615" t="inlineStr">
        <is>
          <t>BAD_REQUEST_ERROR</t>
        </is>
      </c>
      <c r="X615" t="inlineStr">
        <is>
          <t>UPI app declined the request</t>
        </is>
      </c>
      <c r="Y615" s="1" t="n">
        <v>46146.63185185185</v>
      </c>
    </row>
    <row r="616">
      <c r="A616" t="inlineStr">
        <is>
          <t>pay_b3XJS7s6lMNeXh</t>
        </is>
      </c>
      <c r="B616" t="n">
        <v>2499</v>
      </c>
      <c r="C616" t="inlineStr">
        <is>
          <t>INR</t>
        </is>
      </c>
      <c r="D616" t="inlineStr">
        <is>
          <t>refunded</t>
        </is>
      </c>
      <c r="E616" t="inlineStr">
        <is>
          <t>order_0a6RcD4zIs8ukV</t>
        </is>
      </c>
      <c r="G616" t="n">
        <v>0</v>
      </c>
      <c r="H616" t="inlineStr">
        <is>
          <t>upi</t>
        </is>
      </c>
      <c r="I616" t="n">
        <v>2499</v>
      </c>
      <c r="J616" t="n">
        <v>0</v>
      </c>
      <c r="K616" t="inlineStr">
        <is>
          <t>full</t>
        </is>
      </c>
      <c r="L616" t="n">
        <v>1</v>
      </c>
      <c r="R616" t="inlineStr">
        <is>
          <t>customer149@example.com</t>
        </is>
      </c>
      <c r="S616">
        <f>+919876551599</f>
        <v/>
      </c>
      <c r="T616" t="inlineStr">
        <is>
          <t>[]</t>
        </is>
      </c>
      <c r="U616" t="n">
        <v>49.98</v>
      </c>
      <c r="V616" t="n">
        <v>9</v>
      </c>
      <c r="Y616" s="1" t="n">
        <v>46146.63431712963</v>
      </c>
    </row>
    <row r="617">
      <c r="A617" t="inlineStr">
        <is>
          <t>pay_q6rHaBJSjKl3YS</t>
        </is>
      </c>
      <c r="B617" t="n">
        <v>1499</v>
      </c>
      <c r="C617" t="inlineStr">
        <is>
          <t>INR</t>
        </is>
      </c>
      <c r="D617" t="inlineStr">
        <is>
          <t>captured</t>
        </is>
      </c>
      <c r="E617" t="inlineStr">
        <is>
          <t>order_HCcjyZPDCrr8dg</t>
        </is>
      </c>
      <c r="G617" t="n">
        <v>0</v>
      </c>
      <c r="H617" t="inlineStr">
        <is>
          <t>netbanking</t>
        </is>
      </c>
      <c r="I617" t="n">
        <v>0</v>
      </c>
      <c r="J617" t="n">
        <v>0</v>
      </c>
      <c r="L617" t="n">
        <v>1</v>
      </c>
      <c r="R617" t="inlineStr">
        <is>
          <t>customer687@example.com</t>
        </is>
      </c>
      <c r="S617">
        <f>+919856032362</f>
        <v/>
      </c>
      <c r="T617" t="inlineStr">
        <is>
          <t>[]</t>
        </is>
      </c>
      <c r="U617" t="n">
        <v>29.98</v>
      </c>
      <c r="V617" t="n">
        <v>5.4</v>
      </c>
      <c r="Y617" s="1" t="n">
        <v>46155.30377314815</v>
      </c>
    </row>
    <row r="618">
      <c r="A618" t="inlineStr">
        <is>
          <t>pay_GXEwT5fCOSbNRz</t>
        </is>
      </c>
      <c r="B618" t="n">
        <v>1799</v>
      </c>
      <c r="C618" t="inlineStr">
        <is>
          <t>INR</t>
        </is>
      </c>
      <c r="D618" t="inlineStr">
        <is>
          <t>captured</t>
        </is>
      </c>
      <c r="E618" t="inlineStr">
        <is>
          <t>order_ooP9lb30CucFjw</t>
        </is>
      </c>
      <c r="G618" t="n">
        <v>0</v>
      </c>
      <c r="H618" t="inlineStr">
        <is>
          <t>netbanking</t>
        </is>
      </c>
      <c r="I618" t="n">
        <v>0</v>
      </c>
      <c r="J618" t="n">
        <v>0</v>
      </c>
      <c r="L618" t="n">
        <v>1</v>
      </c>
      <c r="R618" t="inlineStr">
        <is>
          <t>customer327@example.com</t>
        </is>
      </c>
      <c r="S618">
        <f>+919854756256</f>
        <v/>
      </c>
      <c r="T618" t="inlineStr">
        <is>
          <t>[]</t>
        </is>
      </c>
      <c r="U618" t="n">
        <v>35.98</v>
      </c>
      <c r="V618" t="n">
        <v>6.48</v>
      </c>
      <c r="Y618" s="1" t="n">
        <v>46148.21540509259</v>
      </c>
    </row>
    <row r="619">
      <c r="A619" t="inlineStr">
        <is>
          <t>pay_p8NjKZs7FEmgF5</t>
        </is>
      </c>
      <c r="B619" t="n">
        <v>1499</v>
      </c>
      <c r="C619" t="inlineStr">
        <is>
          <t>INR</t>
        </is>
      </c>
      <c r="D619" t="inlineStr">
        <is>
          <t>failed</t>
        </is>
      </c>
      <c r="E619" t="inlineStr">
        <is>
          <t>order_r4YObQDOMnky5J</t>
        </is>
      </c>
      <c r="G619" t="n">
        <v>0</v>
      </c>
      <c r="H619" t="inlineStr">
        <is>
          <t>upi</t>
        </is>
      </c>
      <c r="I619" t="n">
        <v>0</v>
      </c>
      <c r="J619" t="n">
        <v>0</v>
      </c>
      <c r="L619" t="n">
        <v>0</v>
      </c>
      <c r="R619" t="inlineStr">
        <is>
          <t>customer532@example.com</t>
        </is>
      </c>
      <c r="S619">
        <f>+919861492907</f>
        <v/>
      </c>
      <c r="T619" t="inlineStr">
        <is>
          <t>[]</t>
        </is>
      </c>
      <c r="W619" t="inlineStr">
        <is>
          <t>BAD_REQUEST_ERROR</t>
        </is>
      </c>
      <c r="X619" t="inlineStr">
        <is>
          <t>Payment was not completed on time</t>
        </is>
      </c>
      <c r="Y619" s="1" t="n">
        <v>46167.7287037037</v>
      </c>
    </row>
    <row r="620">
      <c r="A620" t="inlineStr">
        <is>
          <t>pay_uKuzsj6fEm576q</t>
        </is>
      </c>
      <c r="B620" t="n">
        <v>1499</v>
      </c>
      <c r="C620" t="inlineStr">
        <is>
          <t>INR</t>
        </is>
      </c>
      <c r="D620" t="inlineStr">
        <is>
          <t>captured</t>
        </is>
      </c>
      <c r="E620" t="inlineStr">
        <is>
          <t>order_uesNKRe01yHzGl</t>
        </is>
      </c>
      <c r="G620" t="n">
        <v>0</v>
      </c>
      <c r="H620" t="inlineStr">
        <is>
          <t>upi</t>
        </is>
      </c>
      <c r="I620" t="n">
        <v>0</v>
      </c>
      <c r="J620" t="n">
        <v>0</v>
      </c>
      <c r="L620" t="n">
        <v>1</v>
      </c>
      <c r="R620" t="inlineStr">
        <is>
          <t>customer529@example.com</t>
        </is>
      </c>
      <c r="S620">
        <f>+919892243812</f>
        <v/>
      </c>
      <c r="T620" t="inlineStr">
        <is>
          <t>[]</t>
        </is>
      </c>
      <c r="U620" t="n">
        <v>29.98</v>
      </c>
      <c r="V620" t="n">
        <v>5.4</v>
      </c>
      <c r="Y620" s="1" t="n">
        <v>46162.20303240741</v>
      </c>
    </row>
    <row r="621">
      <c r="A621" t="inlineStr">
        <is>
          <t>pay_nOdLVZz2lkztT9</t>
        </is>
      </c>
      <c r="B621" t="n">
        <v>2499</v>
      </c>
      <c r="C621" t="inlineStr">
        <is>
          <t>INR</t>
        </is>
      </c>
      <c r="D621" t="inlineStr">
        <is>
          <t>captured</t>
        </is>
      </c>
      <c r="E621" t="inlineStr">
        <is>
          <t>order_QzLyX4JoDY4EQj</t>
        </is>
      </c>
      <c r="G621" t="n">
        <v>0</v>
      </c>
      <c r="H621" t="inlineStr">
        <is>
          <t>upi</t>
        </is>
      </c>
      <c r="I621" t="n">
        <v>0</v>
      </c>
      <c r="J621" t="n">
        <v>0</v>
      </c>
      <c r="L621" t="n">
        <v>1</v>
      </c>
      <c r="R621" t="inlineStr">
        <is>
          <t>customer413@example.com</t>
        </is>
      </c>
      <c r="S621">
        <f>+919831993943</f>
        <v/>
      </c>
      <c r="T621" t="inlineStr">
        <is>
          <t>[]</t>
        </is>
      </c>
      <c r="U621" t="n">
        <v>49.98</v>
      </c>
      <c r="V621" t="n">
        <v>9</v>
      </c>
      <c r="Y621" s="1" t="n">
        <v>46169.21608796297</v>
      </c>
    </row>
    <row r="622">
      <c r="A622" t="inlineStr">
        <is>
          <t>pay_ueN5tNrSGWmEjJ</t>
        </is>
      </c>
      <c r="B622" t="n">
        <v>3999</v>
      </c>
      <c r="C622" t="inlineStr">
        <is>
          <t>INR</t>
        </is>
      </c>
      <c r="D622" t="inlineStr">
        <is>
          <t>captured</t>
        </is>
      </c>
      <c r="E622" t="inlineStr">
        <is>
          <t>order_3VjbZmdgLRbUn2</t>
        </is>
      </c>
      <c r="G622" t="n">
        <v>0</v>
      </c>
      <c r="H622" t="inlineStr">
        <is>
          <t>upi</t>
        </is>
      </c>
      <c r="I622" t="n">
        <v>0</v>
      </c>
      <c r="J622" t="n">
        <v>0</v>
      </c>
      <c r="L622" t="n">
        <v>1</v>
      </c>
      <c r="R622" t="inlineStr">
        <is>
          <t>customer39@example.com</t>
        </is>
      </c>
      <c r="S622">
        <f>+919840292962</f>
        <v/>
      </c>
      <c r="T622" t="inlineStr">
        <is>
          <t>[]</t>
        </is>
      </c>
      <c r="U622" t="n">
        <v>79.98</v>
      </c>
      <c r="V622" t="n">
        <v>14.4</v>
      </c>
      <c r="Y622" s="1" t="n">
        <v>46158.08857638889</v>
      </c>
    </row>
    <row r="623">
      <c r="A623" t="inlineStr">
        <is>
          <t>pay_BVlcjEC7cFfonJ</t>
        </is>
      </c>
      <c r="B623" t="n">
        <v>499</v>
      </c>
      <c r="C623" t="inlineStr">
        <is>
          <t>INR</t>
        </is>
      </c>
      <c r="D623" t="inlineStr">
        <is>
          <t>captured</t>
        </is>
      </c>
      <c r="E623" t="inlineStr">
        <is>
          <t>order_WvBdl5lSTsOG7i</t>
        </is>
      </c>
      <c r="G623" t="n">
        <v>0</v>
      </c>
      <c r="H623" t="inlineStr">
        <is>
          <t>upi</t>
        </is>
      </c>
      <c r="I623" t="n">
        <v>0</v>
      </c>
      <c r="J623" t="n">
        <v>0</v>
      </c>
      <c r="L623" t="n">
        <v>1</v>
      </c>
      <c r="R623" t="inlineStr">
        <is>
          <t>customer535@example.com</t>
        </is>
      </c>
      <c r="S623">
        <f>+919859457191</f>
        <v/>
      </c>
      <c r="T623" t="inlineStr">
        <is>
          <t>[]</t>
        </is>
      </c>
      <c r="U623" t="n">
        <v>9.98</v>
      </c>
      <c r="V623" t="n">
        <v>1.8</v>
      </c>
      <c r="Y623" s="1" t="n">
        <v>46149.06959490741</v>
      </c>
    </row>
    <row r="624">
      <c r="A624" t="inlineStr">
        <is>
          <t>pay_T9HHO00BeAihii</t>
        </is>
      </c>
      <c r="B624" t="n">
        <v>1499</v>
      </c>
      <c r="C624" t="inlineStr">
        <is>
          <t>INR</t>
        </is>
      </c>
      <c r="D624" t="inlineStr">
        <is>
          <t>captured</t>
        </is>
      </c>
      <c r="E624" t="inlineStr">
        <is>
          <t>order_f5IFg36gVdOymc</t>
        </is>
      </c>
      <c r="G624" t="n">
        <v>0</v>
      </c>
      <c r="H624" t="inlineStr">
        <is>
          <t>upi</t>
        </is>
      </c>
      <c r="I624" t="n">
        <v>0</v>
      </c>
      <c r="J624" t="n">
        <v>0</v>
      </c>
      <c r="L624" t="n">
        <v>1</v>
      </c>
      <c r="R624" t="inlineStr">
        <is>
          <t>customer612@example.com</t>
        </is>
      </c>
      <c r="S624">
        <f>+919888522356</f>
        <v/>
      </c>
      <c r="T624" t="inlineStr">
        <is>
          <t>[]</t>
        </is>
      </c>
      <c r="U624" t="n">
        <v>29.98</v>
      </c>
      <c r="V624" t="n">
        <v>5.4</v>
      </c>
      <c r="Y624" s="1" t="n">
        <v>46171.76291666667</v>
      </c>
    </row>
    <row r="625">
      <c r="A625" t="inlineStr">
        <is>
          <t>pay_GFBOlb6EZYk1xE</t>
        </is>
      </c>
      <c r="B625" t="n">
        <v>999</v>
      </c>
      <c r="C625" t="inlineStr">
        <is>
          <t>INR</t>
        </is>
      </c>
      <c r="D625" t="inlineStr">
        <is>
          <t>captured</t>
        </is>
      </c>
      <c r="E625" t="inlineStr">
        <is>
          <t>order_VjVRRgCIYJAEEB</t>
        </is>
      </c>
      <c r="G625" t="n">
        <v>0</v>
      </c>
      <c r="H625" t="inlineStr">
        <is>
          <t>card</t>
        </is>
      </c>
      <c r="I625" t="n">
        <v>0</v>
      </c>
      <c r="J625" t="n">
        <v>0</v>
      </c>
      <c r="L625" t="n">
        <v>1</v>
      </c>
      <c r="R625" t="inlineStr">
        <is>
          <t>customer494@example.com</t>
        </is>
      </c>
      <c r="S625">
        <f>+919877391828</f>
        <v/>
      </c>
      <c r="T625" t="inlineStr">
        <is>
          <t>[]</t>
        </is>
      </c>
      <c r="U625" t="n">
        <v>19.98</v>
      </c>
      <c r="V625" t="n">
        <v>3.6</v>
      </c>
      <c r="Y625" s="1" t="n">
        <v>46171.73672453704</v>
      </c>
    </row>
    <row r="626">
      <c r="A626" t="inlineStr">
        <is>
          <t>pay_7HUelD87Az3QG9</t>
        </is>
      </c>
      <c r="B626" t="n">
        <v>3999</v>
      </c>
      <c r="C626" t="inlineStr">
        <is>
          <t>INR</t>
        </is>
      </c>
      <c r="D626" t="inlineStr">
        <is>
          <t>captured</t>
        </is>
      </c>
      <c r="E626" t="inlineStr">
        <is>
          <t>order_BL0bAlglZxEUXz</t>
        </is>
      </c>
      <c r="G626" t="n">
        <v>0</v>
      </c>
      <c r="H626" t="inlineStr">
        <is>
          <t>netbanking</t>
        </is>
      </c>
      <c r="I626" t="n">
        <v>0</v>
      </c>
      <c r="J626" t="n">
        <v>0</v>
      </c>
      <c r="L626" t="n">
        <v>1</v>
      </c>
      <c r="R626" t="inlineStr">
        <is>
          <t>customer392@example.com</t>
        </is>
      </c>
      <c r="S626">
        <f>+919897503154</f>
        <v/>
      </c>
      <c r="T626" t="inlineStr">
        <is>
          <t>[]</t>
        </is>
      </c>
      <c r="U626" t="n">
        <v>79.98</v>
      </c>
      <c r="V626" t="n">
        <v>14.4</v>
      </c>
      <c r="Y626" s="1" t="n">
        <v>46162.99497685185</v>
      </c>
    </row>
    <row r="627">
      <c r="A627" t="inlineStr">
        <is>
          <t>pay_Bn90PIlzLI8vWj</t>
        </is>
      </c>
      <c r="B627" t="n">
        <v>1499</v>
      </c>
      <c r="C627" t="inlineStr">
        <is>
          <t>INR</t>
        </is>
      </c>
      <c r="D627" t="inlineStr">
        <is>
          <t>captured</t>
        </is>
      </c>
      <c r="E627" t="inlineStr">
        <is>
          <t>order_os8OTajPtp94mc</t>
        </is>
      </c>
      <c r="G627" t="n">
        <v>0</v>
      </c>
      <c r="H627" t="inlineStr">
        <is>
          <t>card</t>
        </is>
      </c>
      <c r="I627" t="n">
        <v>0</v>
      </c>
      <c r="J627" t="n">
        <v>0</v>
      </c>
      <c r="L627" t="n">
        <v>1</v>
      </c>
      <c r="R627" t="inlineStr">
        <is>
          <t>customer119@example.com</t>
        </is>
      </c>
      <c r="S627">
        <f>+919889753015</f>
        <v/>
      </c>
      <c r="T627" t="inlineStr">
        <is>
          <t>[]</t>
        </is>
      </c>
      <c r="U627" t="n">
        <v>29.98</v>
      </c>
      <c r="V627" t="n">
        <v>5.4</v>
      </c>
      <c r="Y627" s="1" t="n">
        <v>46157.11456018518</v>
      </c>
    </row>
    <row r="628">
      <c r="A628" t="inlineStr">
        <is>
          <t>pay_b2YFpK8lF8UbhC</t>
        </is>
      </c>
      <c r="B628" t="n">
        <v>2499</v>
      </c>
      <c r="C628" t="inlineStr">
        <is>
          <t>INR</t>
        </is>
      </c>
      <c r="D628" t="inlineStr">
        <is>
          <t>captured</t>
        </is>
      </c>
      <c r="E628" t="inlineStr">
        <is>
          <t>order_YRgPNwlwfOG8qu</t>
        </is>
      </c>
      <c r="G628" t="n">
        <v>0</v>
      </c>
      <c r="H628" t="inlineStr">
        <is>
          <t>upi</t>
        </is>
      </c>
      <c r="I628" t="n">
        <v>0</v>
      </c>
      <c r="J628" t="n">
        <v>0</v>
      </c>
      <c r="L628" t="n">
        <v>1</v>
      </c>
      <c r="R628" t="inlineStr">
        <is>
          <t>customer297@example.com</t>
        </is>
      </c>
      <c r="S628">
        <f>+919833720227</f>
        <v/>
      </c>
      <c r="T628" t="inlineStr">
        <is>
          <t>[]</t>
        </is>
      </c>
      <c r="U628" t="n">
        <v>49.98</v>
      </c>
      <c r="V628" t="n">
        <v>9</v>
      </c>
      <c r="Y628" s="1" t="n">
        <v>46170.71877314815</v>
      </c>
    </row>
    <row r="629">
      <c r="A629" t="inlineStr">
        <is>
          <t>pay_IuuYNVtg0xspck</t>
        </is>
      </c>
      <c r="B629" t="n">
        <v>2499</v>
      </c>
      <c r="C629" t="inlineStr">
        <is>
          <t>INR</t>
        </is>
      </c>
      <c r="D629" t="inlineStr">
        <is>
          <t>captured</t>
        </is>
      </c>
      <c r="E629" t="inlineStr">
        <is>
          <t>order_DHBej6HZKGbiiV</t>
        </is>
      </c>
      <c r="G629" t="n">
        <v>0</v>
      </c>
      <c r="H629" t="inlineStr">
        <is>
          <t>netbanking</t>
        </is>
      </c>
      <c r="I629" t="n">
        <v>0</v>
      </c>
      <c r="J629" t="n">
        <v>0</v>
      </c>
      <c r="L629" t="n">
        <v>1</v>
      </c>
      <c r="R629" t="inlineStr">
        <is>
          <t>customer214@example.com</t>
        </is>
      </c>
      <c r="S629">
        <f>+919817731564</f>
        <v/>
      </c>
      <c r="T629" t="inlineStr">
        <is>
          <t>[]</t>
        </is>
      </c>
      <c r="U629" t="n">
        <v>49.98</v>
      </c>
      <c r="V629" t="n">
        <v>9</v>
      </c>
      <c r="Y629" s="1" t="n">
        <v>46155.58158564815</v>
      </c>
    </row>
    <row r="630">
      <c r="A630" t="inlineStr">
        <is>
          <t>pay_UaKlTtVhYzvFhY</t>
        </is>
      </c>
      <c r="B630" t="n">
        <v>1499</v>
      </c>
      <c r="C630" t="inlineStr">
        <is>
          <t>INR</t>
        </is>
      </c>
      <c r="D630" t="inlineStr">
        <is>
          <t>captured</t>
        </is>
      </c>
      <c r="E630" t="inlineStr">
        <is>
          <t>order_6HOqd3QIEOq70w</t>
        </is>
      </c>
      <c r="G630" t="n">
        <v>0</v>
      </c>
      <c r="H630" t="inlineStr">
        <is>
          <t>upi</t>
        </is>
      </c>
      <c r="I630" t="n">
        <v>0</v>
      </c>
      <c r="J630" t="n">
        <v>0</v>
      </c>
      <c r="L630" t="n">
        <v>1</v>
      </c>
      <c r="R630" t="inlineStr">
        <is>
          <t>customer890@example.com</t>
        </is>
      </c>
      <c r="S630">
        <f>+919838415511</f>
        <v/>
      </c>
      <c r="T630" t="inlineStr">
        <is>
          <t>[]</t>
        </is>
      </c>
      <c r="U630" t="n">
        <v>29.98</v>
      </c>
      <c r="V630" t="n">
        <v>5.4</v>
      </c>
      <c r="Y630" s="1" t="n">
        <v>46165.90358796297</v>
      </c>
    </row>
    <row r="631">
      <c r="A631" t="inlineStr">
        <is>
          <t>pay_JtnPyxcFngeffa</t>
        </is>
      </c>
      <c r="B631" t="n">
        <v>999</v>
      </c>
      <c r="C631" t="inlineStr">
        <is>
          <t>INR</t>
        </is>
      </c>
      <c r="D631" t="inlineStr">
        <is>
          <t>captured</t>
        </is>
      </c>
      <c r="E631" t="inlineStr">
        <is>
          <t>order_uykVdk5YTBjlYX</t>
        </is>
      </c>
      <c r="G631" t="n">
        <v>0</v>
      </c>
      <c r="H631" t="inlineStr">
        <is>
          <t>card</t>
        </is>
      </c>
      <c r="I631" t="n">
        <v>0</v>
      </c>
      <c r="J631" t="n">
        <v>0</v>
      </c>
      <c r="L631" t="n">
        <v>1</v>
      </c>
      <c r="R631" t="inlineStr">
        <is>
          <t>customer287@example.com</t>
        </is>
      </c>
      <c r="S631">
        <f>+919863117585</f>
        <v/>
      </c>
      <c r="T631" t="inlineStr">
        <is>
          <t>[]</t>
        </is>
      </c>
      <c r="U631" t="n">
        <v>19.98</v>
      </c>
      <c r="V631" t="n">
        <v>3.6</v>
      </c>
      <c r="Y631" s="1" t="n">
        <v>46157.57381944444</v>
      </c>
    </row>
    <row r="632">
      <c r="A632" t="inlineStr">
        <is>
          <t>pay_dFMK8qrIkSRyqu</t>
        </is>
      </c>
      <c r="B632" t="n">
        <v>999</v>
      </c>
      <c r="C632" t="inlineStr">
        <is>
          <t>INR</t>
        </is>
      </c>
      <c r="D632" t="inlineStr">
        <is>
          <t>failed</t>
        </is>
      </c>
      <c r="E632" t="inlineStr">
        <is>
          <t>order_3Q8e4ybUNctE7r</t>
        </is>
      </c>
      <c r="G632" t="n">
        <v>0</v>
      </c>
      <c r="H632" t="inlineStr">
        <is>
          <t>card</t>
        </is>
      </c>
      <c r="I632" t="n">
        <v>0</v>
      </c>
      <c r="J632" t="n">
        <v>0</v>
      </c>
      <c r="L632" t="n">
        <v>0</v>
      </c>
      <c r="R632" t="inlineStr">
        <is>
          <t>customer516@example.com</t>
        </is>
      </c>
      <c r="S632">
        <f>+919836455406</f>
        <v/>
      </c>
      <c r="T632" t="inlineStr">
        <is>
          <t>[]</t>
        </is>
      </c>
      <c r="W632" t="inlineStr">
        <is>
          <t>BAD_REQUEST_ERROR</t>
        </is>
      </c>
      <c r="X632" t="inlineStr">
        <is>
          <t>Payment failed due to incorrect OTP</t>
        </is>
      </c>
      <c r="Y632" s="1" t="n">
        <v>46144.83599537037</v>
      </c>
    </row>
    <row r="633">
      <c r="A633" t="inlineStr">
        <is>
          <t>pay_aCwGmKBaqSnCgi</t>
        </is>
      </c>
      <c r="B633" t="n">
        <v>999</v>
      </c>
      <c r="C633" t="inlineStr">
        <is>
          <t>INR</t>
        </is>
      </c>
      <c r="D633" t="inlineStr">
        <is>
          <t>failed</t>
        </is>
      </c>
      <c r="E633" t="inlineStr">
        <is>
          <t>order_3Q8e4ybUNctE7r</t>
        </is>
      </c>
      <c r="G633" t="n">
        <v>0</v>
      </c>
      <c r="H633" t="inlineStr">
        <is>
          <t>card</t>
        </is>
      </c>
      <c r="I633" t="n">
        <v>0</v>
      </c>
      <c r="J633" t="n">
        <v>0</v>
      </c>
      <c r="L633" t="n">
        <v>0</v>
      </c>
      <c r="R633" t="inlineStr">
        <is>
          <t>customer558@example.com</t>
        </is>
      </c>
      <c r="S633">
        <f>+919817836262</f>
        <v/>
      </c>
      <c r="T633" t="inlineStr">
        <is>
          <t>[]</t>
        </is>
      </c>
      <c r="W633" t="inlineStr">
        <is>
          <t>BAD_REQUEST_ERROR</t>
        </is>
      </c>
      <c r="X633" t="inlineStr">
        <is>
          <t>Payment failed due to incorrect OTP</t>
        </is>
      </c>
      <c r="Y633" s="1" t="n">
        <v>46144.83827546296</v>
      </c>
    </row>
    <row r="634">
      <c r="A634" t="inlineStr">
        <is>
          <t>pay_AKT8UqVsxf95A6</t>
        </is>
      </c>
      <c r="B634" t="n">
        <v>2499</v>
      </c>
      <c r="C634" t="inlineStr">
        <is>
          <t>INR</t>
        </is>
      </c>
      <c r="D634" t="inlineStr">
        <is>
          <t>captured</t>
        </is>
      </c>
      <c r="E634" t="inlineStr">
        <is>
          <t>order_RjdZmcA8Q46DE6</t>
        </is>
      </c>
      <c r="G634" t="n">
        <v>0</v>
      </c>
      <c r="H634" t="inlineStr">
        <is>
          <t>upi</t>
        </is>
      </c>
      <c r="I634" t="n">
        <v>0</v>
      </c>
      <c r="J634" t="n">
        <v>0</v>
      </c>
      <c r="L634" t="n">
        <v>1</v>
      </c>
      <c r="R634" t="inlineStr">
        <is>
          <t>customer207@example.com</t>
        </is>
      </c>
      <c r="S634">
        <f>+919863235874</f>
        <v/>
      </c>
      <c r="T634" t="inlineStr">
        <is>
          <t>[]</t>
        </is>
      </c>
      <c r="U634" t="n">
        <v>49.98</v>
      </c>
      <c r="V634" t="n">
        <v>9</v>
      </c>
      <c r="Y634" s="1" t="n">
        <v>46158.1922337963</v>
      </c>
    </row>
    <row r="635">
      <c r="A635" t="inlineStr">
        <is>
          <t>pay_pFAXEtKRMg9ylw</t>
        </is>
      </c>
      <c r="B635" t="n">
        <v>1799</v>
      </c>
      <c r="C635" t="inlineStr">
        <is>
          <t>INR</t>
        </is>
      </c>
      <c r="D635" t="inlineStr">
        <is>
          <t>captured</t>
        </is>
      </c>
      <c r="E635" t="inlineStr">
        <is>
          <t>order_zbe2R0HuAypuzj</t>
        </is>
      </c>
      <c r="G635" t="n">
        <v>0</v>
      </c>
      <c r="H635" t="inlineStr">
        <is>
          <t>card</t>
        </is>
      </c>
      <c r="I635" t="n">
        <v>0</v>
      </c>
      <c r="J635" t="n">
        <v>0</v>
      </c>
      <c r="L635" t="n">
        <v>1</v>
      </c>
      <c r="R635" t="inlineStr">
        <is>
          <t>customer122@example.com</t>
        </is>
      </c>
      <c r="S635">
        <f>+919870931549</f>
        <v/>
      </c>
      <c r="T635" t="inlineStr">
        <is>
          <t>[]</t>
        </is>
      </c>
      <c r="U635" t="n">
        <v>35.98</v>
      </c>
      <c r="V635" t="n">
        <v>6.48</v>
      </c>
      <c r="Y635" s="1" t="n">
        <v>46151.6675</v>
      </c>
    </row>
    <row r="636">
      <c r="A636" t="inlineStr">
        <is>
          <t>pay_HC7OMrTbL9g1qv</t>
        </is>
      </c>
      <c r="B636" t="n">
        <v>999</v>
      </c>
      <c r="C636" t="inlineStr">
        <is>
          <t>INR</t>
        </is>
      </c>
      <c r="D636" t="inlineStr">
        <is>
          <t>captured</t>
        </is>
      </c>
      <c r="E636" t="inlineStr">
        <is>
          <t>order_Hc2Vy53IcItXJW</t>
        </is>
      </c>
      <c r="G636" t="n">
        <v>0</v>
      </c>
      <c r="H636" t="inlineStr">
        <is>
          <t>netbanking</t>
        </is>
      </c>
      <c r="I636" t="n">
        <v>0</v>
      </c>
      <c r="J636" t="n">
        <v>0</v>
      </c>
      <c r="L636" t="n">
        <v>1</v>
      </c>
      <c r="R636" t="inlineStr">
        <is>
          <t>customer398@example.com</t>
        </is>
      </c>
      <c r="S636">
        <f>+919820796793</f>
        <v/>
      </c>
      <c r="T636" t="inlineStr">
        <is>
          <t>[]</t>
        </is>
      </c>
      <c r="U636" t="n">
        <v>19.98</v>
      </c>
      <c r="V636" t="n">
        <v>3.6</v>
      </c>
      <c r="Y636" s="1" t="n">
        <v>46159.05163194444</v>
      </c>
    </row>
    <row r="637">
      <c r="A637" t="inlineStr">
        <is>
          <t>pay_RaBC49UL2RfFdl</t>
        </is>
      </c>
      <c r="B637" t="n">
        <v>3999</v>
      </c>
      <c r="C637" t="inlineStr">
        <is>
          <t>INR</t>
        </is>
      </c>
      <c r="D637" t="inlineStr">
        <is>
          <t>captured</t>
        </is>
      </c>
      <c r="E637" t="inlineStr">
        <is>
          <t>order_moGI4BMiKl5Buf</t>
        </is>
      </c>
      <c r="G637" t="n">
        <v>0</v>
      </c>
      <c r="H637" t="inlineStr">
        <is>
          <t>upi</t>
        </is>
      </c>
      <c r="I637" t="n">
        <v>0</v>
      </c>
      <c r="J637" t="n">
        <v>0</v>
      </c>
      <c r="L637" t="n">
        <v>1</v>
      </c>
      <c r="R637" t="inlineStr">
        <is>
          <t>customer779@example.com</t>
        </is>
      </c>
      <c r="S637">
        <f>+919846665976</f>
        <v/>
      </c>
      <c r="T637" t="inlineStr">
        <is>
          <t>[]</t>
        </is>
      </c>
      <c r="U637" t="n">
        <v>79.98</v>
      </c>
      <c r="V637" t="n">
        <v>14.4</v>
      </c>
      <c r="Y637" s="1" t="n">
        <v>46160.81146990741</v>
      </c>
    </row>
    <row r="638">
      <c r="A638" t="inlineStr">
        <is>
          <t>pay_7wp7TDOgsGW471</t>
        </is>
      </c>
      <c r="B638" t="n">
        <v>3999</v>
      </c>
      <c r="C638" t="inlineStr">
        <is>
          <t>INR</t>
        </is>
      </c>
      <c r="D638" t="inlineStr">
        <is>
          <t>captured</t>
        </is>
      </c>
      <c r="E638" t="inlineStr">
        <is>
          <t>order_RWvHJTFzloUOM2</t>
        </is>
      </c>
      <c r="G638" t="n">
        <v>0</v>
      </c>
      <c r="H638" t="inlineStr">
        <is>
          <t>upi</t>
        </is>
      </c>
      <c r="I638" t="n">
        <v>0</v>
      </c>
      <c r="J638" t="n">
        <v>0</v>
      </c>
      <c r="L638" t="n">
        <v>1</v>
      </c>
      <c r="R638" t="inlineStr">
        <is>
          <t>customer874@example.com</t>
        </is>
      </c>
      <c r="S638">
        <f>+919893386651</f>
        <v/>
      </c>
      <c r="T638" t="inlineStr">
        <is>
          <t>[]</t>
        </is>
      </c>
      <c r="U638" t="n">
        <v>79.98</v>
      </c>
      <c r="V638" t="n">
        <v>14.4</v>
      </c>
      <c r="Y638" s="1" t="n">
        <v>46145.74180555555</v>
      </c>
    </row>
    <row r="639">
      <c r="A639" t="inlineStr">
        <is>
          <t>pay_cnTqZDsVpneSEr</t>
        </is>
      </c>
      <c r="B639" t="n">
        <v>999</v>
      </c>
      <c r="C639" t="inlineStr">
        <is>
          <t>INR</t>
        </is>
      </c>
      <c r="D639" t="inlineStr">
        <is>
          <t>captured</t>
        </is>
      </c>
      <c r="E639" t="inlineStr">
        <is>
          <t>order_O0yhm31rkSzr3j</t>
        </is>
      </c>
      <c r="G639" t="n">
        <v>0</v>
      </c>
      <c r="H639" t="inlineStr">
        <is>
          <t>upi</t>
        </is>
      </c>
      <c r="I639" t="n">
        <v>0</v>
      </c>
      <c r="J639" t="n">
        <v>0</v>
      </c>
      <c r="L639" t="n">
        <v>1</v>
      </c>
      <c r="R639" t="inlineStr">
        <is>
          <t>customer116@example.com</t>
        </is>
      </c>
      <c r="S639">
        <f>+919873238595</f>
        <v/>
      </c>
      <c r="T639" t="inlineStr">
        <is>
          <t>[]</t>
        </is>
      </c>
      <c r="U639" t="n">
        <v>19.98</v>
      </c>
      <c r="V639" t="n">
        <v>3.6</v>
      </c>
      <c r="Y639" s="1" t="n">
        <v>46173.02525462963</v>
      </c>
    </row>
    <row r="640">
      <c r="A640" t="inlineStr">
        <is>
          <t>pay_Q0px15oEEJmx0o</t>
        </is>
      </c>
      <c r="B640" t="n">
        <v>999</v>
      </c>
      <c r="C640" t="inlineStr">
        <is>
          <t>INR</t>
        </is>
      </c>
      <c r="D640" t="inlineStr">
        <is>
          <t>captured</t>
        </is>
      </c>
      <c r="E640" t="inlineStr">
        <is>
          <t>order_qyhJTGvsxsXBra</t>
        </is>
      </c>
      <c r="G640" t="n">
        <v>0</v>
      </c>
      <c r="H640" t="inlineStr">
        <is>
          <t>card</t>
        </is>
      </c>
      <c r="I640" t="n">
        <v>0</v>
      </c>
      <c r="J640" t="n">
        <v>0</v>
      </c>
      <c r="L640" t="n">
        <v>1</v>
      </c>
      <c r="R640" t="inlineStr">
        <is>
          <t>customer880@example.com</t>
        </is>
      </c>
      <c r="S640">
        <f>+919841120157</f>
        <v/>
      </c>
      <c r="T640" t="inlineStr">
        <is>
          <t>[]</t>
        </is>
      </c>
      <c r="U640" t="n">
        <v>19.98</v>
      </c>
      <c r="V640" t="n">
        <v>3.6</v>
      </c>
      <c r="Y640" s="1" t="n">
        <v>46164.06931712963</v>
      </c>
    </row>
    <row r="641">
      <c r="A641" t="inlineStr">
        <is>
          <t>pay_h0xfVaGBenghS0</t>
        </is>
      </c>
      <c r="B641" t="n">
        <v>2499</v>
      </c>
      <c r="C641" t="inlineStr">
        <is>
          <t>INR</t>
        </is>
      </c>
      <c r="D641" t="inlineStr">
        <is>
          <t>captured</t>
        </is>
      </c>
      <c r="E641" t="inlineStr">
        <is>
          <t>order_DCYvFd26T60DLI</t>
        </is>
      </c>
      <c r="G641" t="n">
        <v>0</v>
      </c>
      <c r="H641" t="inlineStr">
        <is>
          <t>netbanking</t>
        </is>
      </c>
      <c r="I641" t="n">
        <v>0</v>
      </c>
      <c r="J641" t="n">
        <v>0</v>
      </c>
      <c r="L641" t="n">
        <v>1</v>
      </c>
      <c r="R641" t="inlineStr">
        <is>
          <t>customer3@example.com</t>
        </is>
      </c>
      <c r="S641">
        <f>+919840821560</f>
        <v/>
      </c>
      <c r="T641" t="inlineStr">
        <is>
          <t>[]</t>
        </is>
      </c>
      <c r="U641" t="n">
        <v>49.98</v>
      </c>
      <c r="V641" t="n">
        <v>9</v>
      </c>
      <c r="Y641" s="1" t="n">
        <v>46146.80596064815</v>
      </c>
    </row>
    <row r="642">
      <c r="A642" t="inlineStr">
        <is>
          <t>pay_MqRuacbPZIVIjo</t>
        </is>
      </c>
      <c r="B642" t="n">
        <v>999</v>
      </c>
      <c r="C642" t="inlineStr">
        <is>
          <t>INR</t>
        </is>
      </c>
      <c r="D642" t="inlineStr">
        <is>
          <t>captured</t>
        </is>
      </c>
      <c r="E642" t="inlineStr">
        <is>
          <t>order_5TrgVhlRJRfu9R</t>
        </is>
      </c>
      <c r="G642" t="n">
        <v>0</v>
      </c>
      <c r="H642" t="inlineStr">
        <is>
          <t>card</t>
        </is>
      </c>
      <c r="I642" t="n">
        <v>0</v>
      </c>
      <c r="J642" t="n">
        <v>0</v>
      </c>
      <c r="L642" t="n">
        <v>1</v>
      </c>
      <c r="R642" t="inlineStr">
        <is>
          <t>customer380@example.com</t>
        </is>
      </c>
      <c r="S642">
        <f>+919885859705</f>
        <v/>
      </c>
      <c r="T642" t="inlineStr">
        <is>
          <t>[]</t>
        </is>
      </c>
      <c r="U642" t="n">
        <v>19.98</v>
      </c>
      <c r="V642" t="n">
        <v>3.6</v>
      </c>
      <c r="Y642" s="1" t="n">
        <v>46157.45550925926</v>
      </c>
    </row>
    <row r="643">
      <c r="A643" t="inlineStr">
        <is>
          <t>pay_dAC9EGrLCD6x15</t>
        </is>
      </c>
      <c r="B643" t="n">
        <v>1499</v>
      </c>
      <c r="C643" t="inlineStr">
        <is>
          <t>INR</t>
        </is>
      </c>
      <c r="D643" t="inlineStr">
        <is>
          <t>failed</t>
        </is>
      </c>
      <c r="E643" t="inlineStr">
        <is>
          <t>order_YtKQRSRp0TZryv</t>
        </is>
      </c>
      <c r="G643" t="n">
        <v>0</v>
      </c>
      <c r="H643" t="inlineStr">
        <is>
          <t>card</t>
        </is>
      </c>
      <c r="I643" t="n">
        <v>0</v>
      </c>
      <c r="J643" t="n">
        <v>0</v>
      </c>
      <c r="L643" t="n">
        <v>0</v>
      </c>
      <c r="R643" t="inlineStr">
        <is>
          <t>customer538@example.com</t>
        </is>
      </c>
      <c r="S643">
        <f>+919840797092</f>
        <v/>
      </c>
      <c r="T643" t="inlineStr">
        <is>
          <t>[]</t>
        </is>
      </c>
      <c r="W643" t="inlineStr">
        <is>
          <t>BAD_REQUEST_ERROR</t>
        </is>
      </c>
      <c r="X643" t="inlineStr">
        <is>
          <t>Payment failed due to incorrect OTP</t>
        </is>
      </c>
      <c r="Y643" s="1" t="n">
        <v>46146.5621875</v>
      </c>
    </row>
    <row r="644">
      <c r="A644" t="inlineStr">
        <is>
          <t>pay_noRhxfdoFuap4m</t>
        </is>
      </c>
      <c r="B644" t="n">
        <v>1499</v>
      </c>
      <c r="C644" t="inlineStr">
        <is>
          <t>INR</t>
        </is>
      </c>
      <c r="D644" t="inlineStr">
        <is>
          <t>captured</t>
        </is>
      </c>
      <c r="E644" t="inlineStr">
        <is>
          <t>order_YtKQRSRp0TZryv</t>
        </is>
      </c>
      <c r="G644" t="n">
        <v>0</v>
      </c>
      <c r="H644" t="inlineStr">
        <is>
          <t>card</t>
        </is>
      </c>
      <c r="I644" t="n">
        <v>0</v>
      </c>
      <c r="J644" t="n">
        <v>0</v>
      </c>
      <c r="L644" t="n">
        <v>1</v>
      </c>
      <c r="R644" t="inlineStr">
        <is>
          <t>customer175@example.com</t>
        </is>
      </c>
      <c r="S644">
        <f>+919849448795</f>
        <v/>
      </c>
      <c r="T644" t="inlineStr">
        <is>
          <t>[]</t>
        </is>
      </c>
      <c r="U644" t="n">
        <v>29.98</v>
      </c>
      <c r="V644" t="n">
        <v>5.4</v>
      </c>
      <c r="Y644" s="1" t="n">
        <v>46146.56409722222</v>
      </c>
    </row>
    <row r="645">
      <c r="A645" t="inlineStr">
        <is>
          <t>pay_PcWbvlI1gCHFMY</t>
        </is>
      </c>
      <c r="B645" t="n">
        <v>1499</v>
      </c>
      <c r="C645" t="inlineStr">
        <is>
          <t>INR</t>
        </is>
      </c>
      <c r="D645" t="inlineStr">
        <is>
          <t>captured</t>
        </is>
      </c>
      <c r="E645" t="inlineStr">
        <is>
          <t>order_48bhhkRaLDoFOr</t>
        </is>
      </c>
      <c r="G645" t="n">
        <v>0</v>
      </c>
      <c r="H645" t="inlineStr">
        <is>
          <t>upi</t>
        </is>
      </c>
      <c r="I645" t="n">
        <v>0</v>
      </c>
      <c r="J645" t="n">
        <v>0</v>
      </c>
      <c r="L645" t="n">
        <v>1</v>
      </c>
      <c r="R645" t="inlineStr">
        <is>
          <t>customer85@example.com</t>
        </is>
      </c>
      <c r="S645">
        <f>+919868434459</f>
        <v/>
      </c>
      <c r="T645" t="inlineStr">
        <is>
          <t>[]</t>
        </is>
      </c>
      <c r="U645" t="n">
        <v>29.98</v>
      </c>
      <c r="V645" t="n">
        <v>5.4</v>
      </c>
      <c r="Y645" s="1" t="n">
        <v>46159.34368055555</v>
      </c>
    </row>
    <row r="646">
      <c r="A646" t="inlineStr">
        <is>
          <t>pay_IHGYR3k11aA2r5</t>
        </is>
      </c>
      <c r="B646" t="n">
        <v>2499</v>
      </c>
      <c r="C646" t="inlineStr">
        <is>
          <t>INR</t>
        </is>
      </c>
      <c r="D646" t="inlineStr">
        <is>
          <t>captured</t>
        </is>
      </c>
      <c r="E646" t="inlineStr">
        <is>
          <t>order_IOabMm9QVVrAR4</t>
        </is>
      </c>
      <c r="G646" t="n">
        <v>0</v>
      </c>
      <c r="H646" t="inlineStr">
        <is>
          <t>card</t>
        </is>
      </c>
      <c r="I646" t="n">
        <v>0</v>
      </c>
      <c r="J646" t="n">
        <v>0</v>
      </c>
      <c r="L646" t="n">
        <v>1</v>
      </c>
      <c r="R646" t="inlineStr">
        <is>
          <t>customer63@example.com</t>
        </is>
      </c>
      <c r="S646">
        <f>+919817223912</f>
        <v/>
      </c>
      <c r="T646" t="inlineStr">
        <is>
          <t>[]</t>
        </is>
      </c>
      <c r="U646" t="n">
        <v>49.98</v>
      </c>
      <c r="V646" t="n">
        <v>9</v>
      </c>
      <c r="Y646" s="1" t="n">
        <v>46148.61310185185</v>
      </c>
    </row>
    <row r="647">
      <c r="A647" t="inlineStr">
        <is>
          <t>pay_uMjA4z3mqSz85O</t>
        </is>
      </c>
      <c r="B647" t="n">
        <v>3999</v>
      </c>
      <c r="C647" t="inlineStr">
        <is>
          <t>INR</t>
        </is>
      </c>
      <c r="D647" t="inlineStr">
        <is>
          <t>failed</t>
        </is>
      </c>
      <c r="E647" t="inlineStr">
        <is>
          <t>order_LFHytTyLd98rUH</t>
        </is>
      </c>
      <c r="G647" t="n">
        <v>0</v>
      </c>
      <c r="H647" t="inlineStr">
        <is>
          <t>card</t>
        </is>
      </c>
      <c r="I647" t="n">
        <v>0</v>
      </c>
      <c r="J647" t="n">
        <v>0</v>
      </c>
      <c r="L647" t="n">
        <v>0</v>
      </c>
      <c r="R647" t="inlineStr">
        <is>
          <t>customer102@example.com</t>
        </is>
      </c>
      <c r="S647">
        <f>+919810075237</f>
        <v/>
      </c>
      <c r="T647" t="inlineStr">
        <is>
          <t>[]</t>
        </is>
      </c>
      <c r="W647" t="inlineStr">
        <is>
          <t>BAD_REQUEST_ERROR</t>
        </is>
      </c>
      <c r="X647" t="inlineStr">
        <is>
          <t>Payment cancelled by user</t>
        </is>
      </c>
      <c r="Y647" s="1" t="n">
        <v>46157.83606481482</v>
      </c>
    </row>
    <row r="648">
      <c r="A648" t="inlineStr">
        <is>
          <t>pay_3RXm6RxXpYRi2S</t>
        </is>
      </c>
      <c r="B648" t="n">
        <v>3999</v>
      </c>
      <c r="C648" t="inlineStr">
        <is>
          <t>INR</t>
        </is>
      </c>
      <c r="D648" t="inlineStr">
        <is>
          <t>failed</t>
        </is>
      </c>
      <c r="E648" t="inlineStr">
        <is>
          <t>order_LFHytTyLd98rUH</t>
        </is>
      </c>
      <c r="G648" t="n">
        <v>0</v>
      </c>
      <c r="H648" t="inlineStr">
        <is>
          <t>card</t>
        </is>
      </c>
      <c r="I648" t="n">
        <v>0</v>
      </c>
      <c r="J648" t="n">
        <v>0</v>
      </c>
      <c r="L648" t="n">
        <v>0</v>
      </c>
      <c r="R648" t="inlineStr">
        <is>
          <t>customer469@example.com</t>
        </is>
      </c>
      <c r="S648">
        <f>+919857782668</f>
        <v/>
      </c>
      <c r="T648" t="inlineStr">
        <is>
          <t>[]</t>
        </is>
      </c>
      <c r="W648" t="inlineStr">
        <is>
          <t>BAD_REQUEST_ERROR</t>
        </is>
      </c>
      <c r="X648" t="inlineStr">
        <is>
          <t>Card declined by bank</t>
        </is>
      </c>
      <c r="Y648" s="1" t="n">
        <v>46157.83850694444</v>
      </c>
    </row>
    <row r="649">
      <c r="A649" t="inlineStr">
        <is>
          <t>pay_2VDSnXW5uu8A5r</t>
        </is>
      </c>
      <c r="B649" t="n">
        <v>1499</v>
      </c>
      <c r="C649" t="inlineStr">
        <is>
          <t>INR</t>
        </is>
      </c>
      <c r="D649" t="inlineStr">
        <is>
          <t>captured</t>
        </is>
      </c>
      <c r="E649" t="inlineStr">
        <is>
          <t>order_kepItARDwk0bGF</t>
        </is>
      </c>
      <c r="G649" t="n">
        <v>0</v>
      </c>
      <c r="H649" t="inlineStr">
        <is>
          <t>card</t>
        </is>
      </c>
      <c r="I649" t="n">
        <v>0</v>
      </c>
      <c r="J649" t="n">
        <v>0</v>
      </c>
      <c r="L649" t="n">
        <v>1</v>
      </c>
      <c r="R649" t="inlineStr">
        <is>
          <t>customer870@example.com</t>
        </is>
      </c>
      <c r="S649">
        <f>+919889248256</f>
        <v/>
      </c>
      <c r="T649" t="inlineStr">
        <is>
          <t>[]</t>
        </is>
      </c>
      <c r="U649" t="n">
        <v>29.98</v>
      </c>
      <c r="V649" t="n">
        <v>5.4</v>
      </c>
      <c r="Y649" s="1" t="n">
        <v>46168.14726851852</v>
      </c>
    </row>
    <row r="650">
      <c r="A650" t="inlineStr">
        <is>
          <t>pay_3nY4Z9WetfrCz3</t>
        </is>
      </c>
      <c r="B650" t="n">
        <v>1499</v>
      </c>
      <c r="C650" t="inlineStr">
        <is>
          <t>INR</t>
        </is>
      </c>
      <c r="D650" t="inlineStr">
        <is>
          <t>captured</t>
        </is>
      </c>
      <c r="E650" t="inlineStr">
        <is>
          <t>order_ehiDNHPvlKZxj4</t>
        </is>
      </c>
      <c r="G650" t="n">
        <v>0</v>
      </c>
      <c r="H650" t="inlineStr">
        <is>
          <t>upi</t>
        </is>
      </c>
      <c r="I650" t="n">
        <v>0</v>
      </c>
      <c r="J650" t="n">
        <v>0</v>
      </c>
      <c r="L650" t="n">
        <v>1</v>
      </c>
      <c r="R650" t="inlineStr">
        <is>
          <t>customer525@example.com</t>
        </is>
      </c>
      <c r="S650">
        <f>+919893107302</f>
        <v/>
      </c>
      <c r="T650" t="inlineStr">
        <is>
          <t>[]</t>
        </is>
      </c>
      <c r="U650" t="n">
        <v>29.98</v>
      </c>
      <c r="V650" t="n">
        <v>5.4</v>
      </c>
      <c r="Y650" s="1" t="n">
        <v>46159.20645833333</v>
      </c>
    </row>
    <row r="651">
      <c r="A651" t="inlineStr">
        <is>
          <t>pay_GwVa77mqcrgZSX</t>
        </is>
      </c>
      <c r="B651" t="n">
        <v>999</v>
      </c>
      <c r="C651" t="inlineStr">
        <is>
          <t>INR</t>
        </is>
      </c>
      <c r="D651" t="inlineStr">
        <is>
          <t>refunded</t>
        </is>
      </c>
      <c r="E651" t="inlineStr">
        <is>
          <t>order_jDWdjXNryIiiaK</t>
        </is>
      </c>
      <c r="G651" t="n">
        <v>0</v>
      </c>
      <c r="H651" t="inlineStr">
        <is>
          <t>upi</t>
        </is>
      </c>
      <c r="I651" t="n">
        <v>999</v>
      </c>
      <c r="J651" t="n">
        <v>0</v>
      </c>
      <c r="K651" t="inlineStr">
        <is>
          <t>full</t>
        </is>
      </c>
      <c r="L651" t="n">
        <v>1</v>
      </c>
      <c r="R651" t="inlineStr">
        <is>
          <t>customer97@example.com</t>
        </is>
      </c>
      <c r="S651">
        <f>+919887877727</f>
        <v/>
      </c>
      <c r="T651" t="inlineStr">
        <is>
          <t>[]</t>
        </is>
      </c>
      <c r="U651" t="n">
        <v>19.98</v>
      </c>
      <c r="V651" t="n">
        <v>3.6</v>
      </c>
      <c r="Y651" s="1" t="n">
        <v>46159.32109953704</v>
      </c>
    </row>
    <row r="652">
      <c r="A652" t="inlineStr">
        <is>
          <t>pay_BVyjLdj9v67u25</t>
        </is>
      </c>
      <c r="B652" t="n">
        <v>1799</v>
      </c>
      <c r="C652" t="inlineStr">
        <is>
          <t>INR</t>
        </is>
      </c>
      <c r="D652" t="inlineStr">
        <is>
          <t>failed</t>
        </is>
      </c>
      <c r="E652" t="inlineStr">
        <is>
          <t>order_4EXc3Fru8QKdJx</t>
        </is>
      </c>
      <c r="G652" t="n">
        <v>0</v>
      </c>
      <c r="H652" t="inlineStr">
        <is>
          <t>card</t>
        </is>
      </c>
      <c r="I652" t="n">
        <v>0</v>
      </c>
      <c r="J652" t="n">
        <v>0</v>
      </c>
      <c r="L652" t="n">
        <v>0</v>
      </c>
      <c r="R652" t="inlineStr">
        <is>
          <t>customer829@example.com</t>
        </is>
      </c>
      <c r="S652">
        <f>+919893942268</f>
        <v/>
      </c>
      <c r="T652" t="inlineStr">
        <is>
          <t>[]</t>
        </is>
      </c>
      <c r="W652" t="inlineStr">
        <is>
          <t>BAD_REQUEST_ERROR</t>
        </is>
      </c>
      <c r="X652" t="inlineStr">
        <is>
          <t>Payment failed due to incorrect OTP</t>
        </is>
      </c>
      <c r="Y652" s="1" t="n">
        <v>46153.22047453704</v>
      </c>
    </row>
    <row r="653">
      <c r="A653" t="inlineStr">
        <is>
          <t>pay_4CSd1sSazDEG90</t>
        </is>
      </c>
      <c r="B653" t="n">
        <v>1799</v>
      </c>
      <c r="C653" t="inlineStr">
        <is>
          <t>INR</t>
        </is>
      </c>
      <c r="D653" t="inlineStr">
        <is>
          <t>failed</t>
        </is>
      </c>
      <c r="E653" t="inlineStr">
        <is>
          <t>order_4EXc3Fru8QKdJx</t>
        </is>
      </c>
      <c r="G653" t="n">
        <v>0</v>
      </c>
      <c r="H653" t="inlineStr">
        <is>
          <t>card</t>
        </is>
      </c>
      <c r="I653" t="n">
        <v>0</v>
      </c>
      <c r="J653" t="n">
        <v>0</v>
      </c>
      <c r="L653" t="n">
        <v>0</v>
      </c>
      <c r="R653" t="inlineStr">
        <is>
          <t>customer386@example.com</t>
        </is>
      </c>
      <c r="S653">
        <f>+919849249771</f>
        <v/>
      </c>
      <c r="T653" t="inlineStr">
        <is>
          <t>[]</t>
        </is>
      </c>
      <c r="W653" t="inlineStr">
        <is>
          <t>BAD_REQUEST_ERROR</t>
        </is>
      </c>
      <c r="X653" t="inlineStr">
        <is>
          <t>Card declined by bank</t>
        </is>
      </c>
      <c r="Y653" s="1" t="n">
        <v>46153.22606481481</v>
      </c>
    </row>
    <row r="654">
      <c r="A654" t="inlineStr">
        <is>
          <t>pay_ttbqu2UNXadeot</t>
        </is>
      </c>
      <c r="B654" t="n">
        <v>2499</v>
      </c>
      <c r="C654" t="inlineStr">
        <is>
          <t>INR</t>
        </is>
      </c>
      <c r="D654" t="inlineStr">
        <is>
          <t>captured</t>
        </is>
      </c>
      <c r="E654" t="inlineStr">
        <is>
          <t>order_SGTmDCuDhJOHW0</t>
        </is>
      </c>
      <c r="G654" t="n">
        <v>0</v>
      </c>
      <c r="H654" t="inlineStr">
        <is>
          <t>upi</t>
        </is>
      </c>
      <c r="I654" t="n">
        <v>0</v>
      </c>
      <c r="J654" t="n">
        <v>0</v>
      </c>
      <c r="L654" t="n">
        <v>1</v>
      </c>
      <c r="R654" t="inlineStr">
        <is>
          <t>customer169@example.com</t>
        </is>
      </c>
      <c r="S654">
        <f>+919836004631</f>
        <v/>
      </c>
      <c r="T654" t="inlineStr">
        <is>
          <t>[]</t>
        </is>
      </c>
      <c r="U654" t="n">
        <v>49.98</v>
      </c>
      <c r="V654" t="n">
        <v>9</v>
      </c>
      <c r="Y654" s="1" t="n">
        <v>46152.74695601852</v>
      </c>
    </row>
    <row r="655">
      <c r="A655" t="inlineStr">
        <is>
          <t>pay_emlG0BXWCCv5qa</t>
        </is>
      </c>
      <c r="B655" t="n">
        <v>499</v>
      </c>
      <c r="C655" t="inlineStr">
        <is>
          <t>INR</t>
        </is>
      </c>
      <c r="D655" t="inlineStr">
        <is>
          <t>failed</t>
        </is>
      </c>
      <c r="E655" t="inlineStr">
        <is>
          <t>order_JQlJDiiV5sKAGu</t>
        </is>
      </c>
      <c r="G655" t="n">
        <v>0</v>
      </c>
      <c r="H655" t="inlineStr">
        <is>
          <t>card</t>
        </is>
      </c>
      <c r="I655" t="n">
        <v>0</v>
      </c>
      <c r="J655" t="n">
        <v>0</v>
      </c>
      <c r="L655" t="n">
        <v>0</v>
      </c>
      <c r="R655" t="inlineStr">
        <is>
          <t>customer467@example.com</t>
        </is>
      </c>
      <c r="S655">
        <f>+919899866807</f>
        <v/>
      </c>
      <c r="T655" t="inlineStr">
        <is>
          <t>[]</t>
        </is>
      </c>
      <c r="W655" t="inlineStr">
        <is>
          <t>BAD_REQUEST_ERROR</t>
        </is>
      </c>
      <c r="X655" t="inlineStr">
        <is>
          <t>Payment cancelled by user</t>
        </is>
      </c>
      <c r="Y655" s="1" t="n">
        <v>46172.45032407407</v>
      </c>
    </row>
    <row r="656">
      <c r="A656" t="inlineStr">
        <is>
          <t>pay_OBAZsoie78X7B2</t>
        </is>
      </c>
      <c r="B656" t="n">
        <v>1499</v>
      </c>
      <c r="C656" t="inlineStr">
        <is>
          <t>INR</t>
        </is>
      </c>
      <c r="D656" t="inlineStr">
        <is>
          <t>captured</t>
        </is>
      </c>
      <c r="E656" t="inlineStr">
        <is>
          <t>order_93msqE42x3e2CR</t>
        </is>
      </c>
      <c r="G656" t="n">
        <v>0</v>
      </c>
      <c r="H656" t="inlineStr">
        <is>
          <t>upi</t>
        </is>
      </c>
      <c r="I656" t="n">
        <v>0</v>
      </c>
      <c r="J656" t="n">
        <v>0</v>
      </c>
      <c r="L656" t="n">
        <v>1</v>
      </c>
      <c r="R656" t="inlineStr">
        <is>
          <t>customer374@example.com</t>
        </is>
      </c>
      <c r="S656">
        <f>+919832010451</f>
        <v/>
      </c>
      <c r="T656" t="inlineStr">
        <is>
          <t>[]</t>
        </is>
      </c>
      <c r="U656" t="n">
        <v>29.98</v>
      </c>
      <c r="V656" t="n">
        <v>5.4</v>
      </c>
      <c r="Y656" s="1" t="n">
        <v>46147.1132175926</v>
      </c>
    </row>
    <row r="657">
      <c r="A657" t="inlineStr">
        <is>
          <t>pay_8dYpn8oHZkrqd5</t>
        </is>
      </c>
      <c r="B657" t="n">
        <v>499</v>
      </c>
      <c r="C657" t="inlineStr">
        <is>
          <t>INR</t>
        </is>
      </c>
      <c r="D657" t="inlineStr">
        <is>
          <t>captured</t>
        </is>
      </c>
      <c r="E657" t="inlineStr">
        <is>
          <t>order_W02SlFjbJN2e0E</t>
        </is>
      </c>
      <c r="G657" t="n">
        <v>0</v>
      </c>
      <c r="H657" t="inlineStr">
        <is>
          <t>upi</t>
        </is>
      </c>
      <c r="I657" t="n">
        <v>0</v>
      </c>
      <c r="J657" t="n">
        <v>0</v>
      </c>
      <c r="L657" t="n">
        <v>1</v>
      </c>
      <c r="R657" t="inlineStr">
        <is>
          <t>customer343@example.com</t>
        </is>
      </c>
      <c r="S657">
        <f>+919833698968</f>
        <v/>
      </c>
      <c r="T657" t="inlineStr">
        <is>
          <t>[]</t>
        </is>
      </c>
      <c r="U657" t="n">
        <v>9.98</v>
      </c>
      <c r="V657" t="n">
        <v>1.8</v>
      </c>
      <c r="Y657" s="1" t="n">
        <v>46160.78481481481</v>
      </c>
    </row>
    <row r="658">
      <c r="A658" t="inlineStr">
        <is>
          <t>pay_zQ5Vi4fcRJi6Vn</t>
        </is>
      </c>
      <c r="B658" t="n">
        <v>499</v>
      </c>
      <c r="C658" t="inlineStr">
        <is>
          <t>INR</t>
        </is>
      </c>
      <c r="D658" t="inlineStr">
        <is>
          <t>captured</t>
        </is>
      </c>
      <c r="E658" t="inlineStr">
        <is>
          <t>order_BbRd6VzOj7Kqfq</t>
        </is>
      </c>
      <c r="G658" t="n">
        <v>0</v>
      </c>
      <c r="H658" t="inlineStr">
        <is>
          <t>upi</t>
        </is>
      </c>
      <c r="I658" t="n">
        <v>0</v>
      </c>
      <c r="J658" t="n">
        <v>0</v>
      </c>
      <c r="L658" t="n">
        <v>1</v>
      </c>
      <c r="R658" t="inlineStr">
        <is>
          <t>customer782@example.com</t>
        </is>
      </c>
      <c r="S658">
        <f>+919837088004</f>
        <v/>
      </c>
      <c r="T658" t="inlineStr">
        <is>
          <t>[]</t>
        </is>
      </c>
      <c r="U658" t="n">
        <v>9.98</v>
      </c>
      <c r="V658" t="n">
        <v>1.8</v>
      </c>
      <c r="Y658" s="1" t="n">
        <v>46168.77069444444</v>
      </c>
    </row>
    <row r="659">
      <c r="A659" t="inlineStr">
        <is>
          <t>pay_563ZbW0Fpyv5I9</t>
        </is>
      </c>
      <c r="B659" t="n">
        <v>1499</v>
      </c>
      <c r="C659" t="inlineStr">
        <is>
          <t>INR</t>
        </is>
      </c>
      <c r="D659" t="inlineStr">
        <is>
          <t>captured</t>
        </is>
      </c>
      <c r="E659" t="inlineStr">
        <is>
          <t>order_iY6FisnbO2pqvX</t>
        </is>
      </c>
      <c r="G659" t="n">
        <v>0</v>
      </c>
      <c r="H659" t="inlineStr">
        <is>
          <t>upi</t>
        </is>
      </c>
      <c r="I659" t="n">
        <v>0</v>
      </c>
      <c r="J659" t="n">
        <v>0</v>
      </c>
      <c r="L659" t="n">
        <v>1</v>
      </c>
      <c r="R659" t="inlineStr">
        <is>
          <t>customer596@example.com</t>
        </is>
      </c>
      <c r="S659">
        <f>+919846400847</f>
        <v/>
      </c>
      <c r="T659" t="inlineStr">
        <is>
          <t>[]</t>
        </is>
      </c>
      <c r="U659" t="n">
        <v>29.98</v>
      </c>
      <c r="V659" t="n">
        <v>5.4</v>
      </c>
      <c r="Y659" s="1" t="n">
        <v>46150.15077546296</v>
      </c>
    </row>
    <row r="660">
      <c r="A660" t="inlineStr">
        <is>
          <t>pay_feJlu2H5pFTFdl</t>
        </is>
      </c>
      <c r="B660" t="n">
        <v>499</v>
      </c>
      <c r="C660" t="inlineStr">
        <is>
          <t>INR</t>
        </is>
      </c>
      <c r="D660" t="inlineStr">
        <is>
          <t>captured</t>
        </is>
      </c>
      <c r="E660" t="inlineStr">
        <is>
          <t>order_OCdx5n3KTy1CmO</t>
        </is>
      </c>
      <c r="G660" t="n">
        <v>0</v>
      </c>
      <c r="H660" t="inlineStr">
        <is>
          <t>upi</t>
        </is>
      </c>
      <c r="I660" t="n">
        <v>0</v>
      </c>
      <c r="J660" t="n">
        <v>0</v>
      </c>
      <c r="L660" t="n">
        <v>1</v>
      </c>
      <c r="R660" t="inlineStr">
        <is>
          <t>customer490@example.com</t>
        </is>
      </c>
      <c r="S660">
        <f>+919824404459</f>
        <v/>
      </c>
      <c r="T660" t="inlineStr">
        <is>
          <t>[]</t>
        </is>
      </c>
      <c r="U660" t="n">
        <v>9.98</v>
      </c>
      <c r="V660" t="n">
        <v>1.8</v>
      </c>
      <c r="Y660" s="1" t="n">
        <v>46147.01513888889</v>
      </c>
    </row>
    <row r="661">
      <c r="A661" t="inlineStr">
        <is>
          <t>pay_G0OcBJHZd47UFh</t>
        </is>
      </c>
      <c r="B661" t="n">
        <v>3999</v>
      </c>
      <c r="C661" t="inlineStr">
        <is>
          <t>INR</t>
        </is>
      </c>
      <c r="D661" t="inlineStr">
        <is>
          <t>failed</t>
        </is>
      </c>
      <c r="E661" t="inlineStr">
        <is>
          <t>order_DfoVLnuRVkZrAx</t>
        </is>
      </c>
      <c r="G661" t="n">
        <v>0</v>
      </c>
      <c r="H661" t="inlineStr">
        <is>
          <t>upi</t>
        </is>
      </c>
      <c r="I661" t="n">
        <v>0</v>
      </c>
      <c r="J661" t="n">
        <v>0</v>
      </c>
      <c r="L661" t="n">
        <v>0</v>
      </c>
      <c r="R661" t="inlineStr">
        <is>
          <t>customer835@example.com</t>
        </is>
      </c>
      <c r="S661">
        <f>+919844736296</f>
        <v/>
      </c>
      <c r="T661" t="inlineStr">
        <is>
          <t>[]</t>
        </is>
      </c>
      <c r="W661" t="inlineStr">
        <is>
          <t>BAD_REQUEST_ERROR</t>
        </is>
      </c>
      <c r="X661" t="inlineStr">
        <is>
          <t>UPI app declined the request</t>
        </is>
      </c>
      <c r="Y661" s="1" t="n">
        <v>46149.20140046296</v>
      </c>
    </row>
    <row r="662">
      <c r="A662" t="inlineStr">
        <is>
          <t>pay_8WvBv6KgsvEF0s</t>
        </is>
      </c>
      <c r="B662" t="n">
        <v>3999</v>
      </c>
      <c r="C662" t="inlineStr">
        <is>
          <t>INR</t>
        </is>
      </c>
      <c r="D662" t="inlineStr">
        <is>
          <t>captured</t>
        </is>
      </c>
      <c r="E662" t="inlineStr">
        <is>
          <t>order_DfoVLnuRVkZrAx</t>
        </is>
      </c>
      <c r="G662" t="n">
        <v>0</v>
      </c>
      <c r="H662" t="inlineStr">
        <is>
          <t>card</t>
        </is>
      </c>
      <c r="I662" t="n">
        <v>0</v>
      </c>
      <c r="J662" t="n">
        <v>0</v>
      </c>
      <c r="L662" t="n">
        <v>1</v>
      </c>
      <c r="R662" t="inlineStr">
        <is>
          <t>customer810@example.com</t>
        </is>
      </c>
      <c r="S662">
        <f>+919820606649</f>
        <v/>
      </c>
      <c r="T662" t="inlineStr">
        <is>
          <t>[]</t>
        </is>
      </c>
      <c r="U662" t="n">
        <v>79.98</v>
      </c>
      <c r="V662" t="n">
        <v>14.4</v>
      </c>
      <c r="Y662" s="1" t="n">
        <v>46149.20734953704</v>
      </c>
    </row>
    <row r="663">
      <c r="A663" t="inlineStr">
        <is>
          <t>pay_1aCzvxHoVXJuSU</t>
        </is>
      </c>
      <c r="B663" t="n">
        <v>3999</v>
      </c>
      <c r="C663" t="inlineStr">
        <is>
          <t>INR</t>
        </is>
      </c>
      <c r="D663" t="inlineStr">
        <is>
          <t>captured</t>
        </is>
      </c>
      <c r="E663" t="inlineStr">
        <is>
          <t>order_dUCSrohZTqRtN4</t>
        </is>
      </c>
      <c r="G663" t="n">
        <v>0</v>
      </c>
      <c r="H663" t="inlineStr">
        <is>
          <t>upi</t>
        </is>
      </c>
      <c r="I663" t="n">
        <v>0</v>
      </c>
      <c r="J663" t="n">
        <v>0</v>
      </c>
      <c r="L663" t="n">
        <v>1</v>
      </c>
      <c r="R663" t="inlineStr">
        <is>
          <t>customer707@example.com</t>
        </is>
      </c>
      <c r="S663">
        <f>+919869553593</f>
        <v/>
      </c>
      <c r="T663" t="inlineStr">
        <is>
          <t>[]</t>
        </is>
      </c>
      <c r="U663" t="n">
        <v>79.98</v>
      </c>
      <c r="V663" t="n">
        <v>14.4</v>
      </c>
      <c r="Y663" s="1" t="n">
        <v>46150.70039351852</v>
      </c>
    </row>
    <row r="664">
      <c r="A664" t="inlineStr">
        <is>
          <t>pay_V7cKmYYVcjk91Z</t>
        </is>
      </c>
      <c r="B664" t="n">
        <v>1799</v>
      </c>
      <c r="C664" t="inlineStr">
        <is>
          <t>INR</t>
        </is>
      </c>
      <c r="D664" t="inlineStr">
        <is>
          <t>captured</t>
        </is>
      </c>
      <c r="E664" t="inlineStr">
        <is>
          <t>order_MEm56W27doweLQ</t>
        </is>
      </c>
      <c r="G664" t="n">
        <v>0</v>
      </c>
      <c r="H664" t="inlineStr">
        <is>
          <t>upi</t>
        </is>
      </c>
      <c r="I664" t="n">
        <v>0</v>
      </c>
      <c r="J664" t="n">
        <v>0</v>
      </c>
      <c r="L664" t="n">
        <v>1</v>
      </c>
      <c r="R664" t="inlineStr">
        <is>
          <t>customer733@example.com</t>
        </is>
      </c>
      <c r="S664">
        <f>+919889222994</f>
        <v/>
      </c>
      <c r="T664" t="inlineStr">
        <is>
          <t>[]</t>
        </is>
      </c>
      <c r="U664" t="n">
        <v>35.98</v>
      </c>
      <c r="V664" t="n">
        <v>6.48</v>
      </c>
      <c r="Y664" s="1" t="n">
        <v>46156.50128472222</v>
      </c>
    </row>
    <row r="665">
      <c r="A665" t="inlineStr">
        <is>
          <t>pay_qVGWhAP9qVmKoe</t>
        </is>
      </c>
      <c r="B665" t="n">
        <v>1499</v>
      </c>
      <c r="C665" t="inlineStr">
        <is>
          <t>INR</t>
        </is>
      </c>
      <c r="D665" t="inlineStr">
        <is>
          <t>captured</t>
        </is>
      </c>
      <c r="E665" t="inlineStr">
        <is>
          <t>order_jXjIQkAgn58SM7</t>
        </is>
      </c>
      <c r="G665" t="n">
        <v>0</v>
      </c>
      <c r="H665" t="inlineStr">
        <is>
          <t>upi</t>
        </is>
      </c>
      <c r="I665" t="n">
        <v>0</v>
      </c>
      <c r="J665" t="n">
        <v>0</v>
      </c>
      <c r="L665" t="n">
        <v>1</v>
      </c>
      <c r="R665" t="inlineStr">
        <is>
          <t>customer352@example.com</t>
        </is>
      </c>
      <c r="S665">
        <f>+919864038376</f>
        <v/>
      </c>
      <c r="T665" t="inlineStr">
        <is>
          <t>[]</t>
        </is>
      </c>
      <c r="U665" t="n">
        <v>29.98</v>
      </c>
      <c r="V665" t="n">
        <v>5.4</v>
      </c>
      <c r="Y665" s="1" t="n">
        <v>46173.02607638889</v>
      </c>
    </row>
    <row r="666">
      <c r="A666" t="inlineStr">
        <is>
          <t>pay_JrxEdWvU3Jp5oG</t>
        </is>
      </c>
      <c r="B666" t="n">
        <v>999</v>
      </c>
      <c r="C666" t="inlineStr">
        <is>
          <t>INR</t>
        </is>
      </c>
      <c r="D666" t="inlineStr">
        <is>
          <t>failed</t>
        </is>
      </c>
      <c r="E666" t="inlineStr">
        <is>
          <t>order_npZapgY4tyAwjo</t>
        </is>
      </c>
      <c r="G666" t="n">
        <v>0</v>
      </c>
      <c r="H666" t="inlineStr">
        <is>
          <t>netbanking</t>
        </is>
      </c>
      <c r="I666" t="n">
        <v>0</v>
      </c>
      <c r="J666" t="n">
        <v>0</v>
      </c>
      <c r="L666" t="n">
        <v>0</v>
      </c>
      <c r="R666" t="inlineStr">
        <is>
          <t>customer628@example.com</t>
        </is>
      </c>
      <c r="S666">
        <f>+919829872262</f>
        <v/>
      </c>
      <c r="T666" t="inlineStr">
        <is>
          <t>[]</t>
        </is>
      </c>
      <c r="W666" t="inlineStr">
        <is>
          <t>BAD_REQUEST_ERROR</t>
        </is>
      </c>
      <c r="X666" t="inlineStr">
        <is>
          <t>Bank server unavailable</t>
        </is>
      </c>
      <c r="Y666" s="1" t="n">
        <v>46161.46981481482</v>
      </c>
    </row>
    <row r="667">
      <c r="A667" t="inlineStr">
        <is>
          <t>pay_TtsaxKoPosBMPd</t>
        </is>
      </c>
      <c r="B667" t="n">
        <v>999</v>
      </c>
      <c r="C667" t="inlineStr">
        <is>
          <t>INR</t>
        </is>
      </c>
      <c r="D667" t="inlineStr">
        <is>
          <t>captured</t>
        </is>
      </c>
      <c r="E667" t="inlineStr">
        <is>
          <t>order_npZapgY4tyAwjo</t>
        </is>
      </c>
      <c r="G667" t="n">
        <v>0</v>
      </c>
      <c r="H667" t="inlineStr">
        <is>
          <t>netbanking</t>
        </is>
      </c>
      <c r="I667" t="n">
        <v>0</v>
      </c>
      <c r="J667" t="n">
        <v>0</v>
      </c>
      <c r="L667" t="n">
        <v>1</v>
      </c>
      <c r="R667" t="inlineStr">
        <is>
          <t>customer391@example.com</t>
        </is>
      </c>
      <c r="S667">
        <f>+919819944087</f>
        <v/>
      </c>
      <c r="T667" t="inlineStr">
        <is>
          <t>[]</t>
        </is>
      </c>
      <c r="U667" t="n">
        <v>19.98</v>
      </c>
      <c r="V667" t="n">
        <v>3.6</v>
      </c>
      <c r="Y667" s="1" t="n">
        <v>46161.47597222222</v>
      </c>
    </row>
    <row r="668">
      <c r="A668" t="inlineStr">
        <is>
          <t>pay_aUUUIbSwGVufIk</t>
        </is>
      </c>
      <c r="B668" t="n">
        <v>999</v>
      </c>
      <c r="C668" t="inlineStr">
        <is>
          <t>INR</t>
        </is>
      </c>
      <c r="D668" t="inlineStr">
        <is>
          <t>captured</t>
        </is>
      </c>
      <c r="E668" t="inlineStr">
        <is>
          <t>order_y3NEYRHPhFtFjf</t>
        </is>
      </c>
      <c r="G668" t="n">
        <v>0</v>
      </c>
      <c r="H668" t="inlineStr">
        <is>
          <t>upi</t>
        </is>
      </c>
      <c r="I668" t="n">
        <v>0</v>
      </c>
      <c r="J668" t="n">
        <v>0</v>
      </c>
      <c r="L668" t="n">
        <v>1</v>
      </c>
      <c r="R668" t="inlineStr">
        <is>
          <t>customer651@example.com</t>
        </is>
      </c>
      <c r="S668">
        <f>+919836231604</f>
        <v/>
      </c>
      <c r="T668" t="inlineStr">
        <is>
          <t>[]</t>
        </is>
      </c>
      <c r="U668" t="n">
        <v>19.98</v>
      </c>
      <c r="V668" t="n">
        <v>3.6</v>
      </c>
      <c r="Y668" s="1" t="n">
        <v>46162.26365740741</v>
      </c>
    </row>
    <row r="669">
      <c r="A669" t="inlineStr">
        <is>
          <t>pay_7PqCtoIUrzY9sw</t>
        </is>
      </c>
      <c r="B669" t="n">
        <v>1799</v>
      </c>
      <c r="C669" t="inlineStr">
        <is>
          <t>INR</t>
        </is>
      </c>
      <c r="D669" t="inlineStr">
        <is>
          <t>captured</t>
        </is>
      </c>
      <c r="E669" t="inlineStr">
        <is>
          <t>order_3qONqG3ksADIvD</t>
        </is>
      </c>
      <c r="G669" t="n">
        <v>0</v>
      </c>
      <c r="H669" t="inlineStr">
        <is>
          <t>upi</t>
        </is>
      </c>
      <c r="I669" t="n">
        <v>0</v>
      </c>
      <c r="J669" t="n">
        <v>0</v>
      </c>
      <c r="L669" t="n">
        <v>1</v>
      </c>
      <c r="R669" t="inlineStr">
        <is>
          <t>customer72@example.com</t>
        </is>
      </c>
      <c r="S669">
        <f>+919855691756</f>
        <v/>
      </c>
      <c r="T669" t="inlineStr">
        <is>
          <t>[]</t>
        </is>
      </c>
      <c r="U669" t="n">
        <v>35.98</v>
      </c>
      <c r="V669" t="n">
        <v>6.48</v>
      </c>
      <c r="Y669" s="1" t="n">
        <v>46172.12934027778</v>
      </c>
    </row>
    <row r="670">
      <c r="A670" t="inlineStr">
        <is>
          <t>pay_hhFL0FioawKBuE</t>
        </is>
      </c>
      <c r="B670" t="n">
        <v>1499</v>
      </c>
      <c r="C670" t="inlineStr">
        <is>
          <t>INR</t>
        </is>
      </c>
      <c r="D670" t="inlineStr">
        <is>
          <t>captured</t>
        </is>
      </c>
      <c r="E670" t="inlineStr">
        <is>
          <t>order_xCgtHyQnFqWrXz</t>
        </is>
      </c>
      <c r="G670" t="n">
        <v>0</v>
      </c>
      <c r="H670" t="inlineStr">
        <is>
          <t>upi</t>
        </is>
      </c>
      <c r="I670" t="n">
        <v>0</v>
      </c>
      <c r="J670" t="n">
        <v>0</v>
      </c>
      <c r="L670" t="n">
        <v>1</v>
      </c>
      <c r="R670" t="inlineStr">
        <is>
          <t>customer63@example.com</t>
        </is>
      </c>
      <c r="S670">
        <f>+919837355568</f>
        <v/>
      </c>
      <c r="T670" t="inlineStr">
        <is>
          <t>[]</t>
        </is>
      </c>
      <c r="U670" t="n">
        <v>29.98</v>
      </c>
      <c r="V670" t="n">
        <v>5.4</v>
      </c>
      <c r="Y670" s="1" t="n">
        <v>46155.51930555556</v>
      </c>
    </row>
    <row r="671">
      <c r="A671" t="inlineStr">
        <is>
          <t>pay_XwsK4MFeoA3kbg</t>
        </is>
      </c>
      <c r="B671" t="n">
        <v>499</v>
      </c>
      <c r="C671" t="inlineStr">
        <is>
          <t>INR</t>
        </is>
      </c>
      <c r="D671" t="inlineStr">
        <is>
          <t>captured</t>
        </is>
      </c>
      <c r="E671" t="inlineStr">
        <is>
          <t>order_HAIwYHsyolDztU</t>
        </is>
      </c>
      <c r="G671" t="n">
        <v>0</v>
      </c>
      <c r="H671" t="inlineStr">
        <is>
          <t>upi</t>
        </is>
      </c>
      <c r="I671" t="n">
        <v>0</v>
      </c>
      <c r="J671" t="n">
        <v>0</v>
      </c>
      <c r="L671" t="n">
        <v>1</v>
      </c>
      <c r="R671" t="inlineStr">
        <is>
          <t>customer518@example.com</t>
        </is>
      </c>
      <c r="S671">
        <f>+919840069509</f>
        <v/>
      </c>
      <c r="T671" t="inlineStr">
        <is>
          <t>[]</t>
        </is>
      </c>
      <c r="U671" t="n">
        <v>9.98</v>
      </c>
      <c r="V671" t="n">
        <v>1.8</v>
      </c>
      <c r="Y671" s="1" t="n">
        <v>46168.93034722222</v>
      </c>
    </row>
    <row r="672">
      <c r="A672" t="inlineStr">
        <is>
          <t>pay_2sSdNRtsZrpW4j</t>
        </is>
      </c>
      <c r="B672" t="n">
        <v>999</v>
      </c>
      <c r="C672" t="inlineStr">
        <is>
          <t>INR</t>
        </is>
      </c>
      <c r="D672" t="inlineStr">
        <is>
          <t>captured</t>
        </is>
      </c>
      <c r="E672" t="inlineStr">
        <is>
          <t>order_ZjPaFcNEnmj8Fc</t>
        </is>
      </c>
      <c r="G672" t="n">
        <v>0</v>
      </c>
      <c r="H672" t="inlineStr">
        <is>
          <t>netbanking</t>
        </is>
      </c>
      <c r="I672" t="n">
        <v>0</v>
      </c>
      <c r="J672" t="n">
        <v>0</v>
      </c>
      <c r="L672" t="n">
        <v>1</v>
      </c>
      <c r="R672" t="inlineStr">
        <is>
          <t>customer487@example.com</t>
        </is>
      </c>
      <c r="S672">
        <f>+919857921956</f>
        <v/>
      </c>
      <c r="T672" t="inlineStr">
        <is>
          <t>[]</t>
        </is>
      </c>
      <c r="U672" t="n">
        <v>19.98</v>
      </c>
      <c r="V672" t="n">
        <v>3.6</v>
      </c>
      <c r="Y672" s="1" t="n">
        <v>46149.02063657407</v>
      </c>
    </row>
    <row r="673">
      <c r="A673" t="inlineStr">
        <is>
          <t>pay_XYaa0HllONuklP</t>
        </is>
      </c>
      <c r="B673" t="n">
        <v>999</v>
      </c>
      <c r="C673" t="inlineStr">
        <is>
          <t>INR</t>
        </is>
      </c>
      <c r="D673" t="inlineStr">
        <is>
          <t>captured</t>
        </is>
      </c>
      <c r="E673" t="inlineStr">
        <is>
          <t>order_EO0elymUwstt8S</t>
        </is>
      </c>
      <c r="G673" t="n">
        <v>0</v>
      </c>
      <c r="H673" t="inlineStr">
        <is>
          <t>upi</t>
        </is>
      </c>
      <c r="I673" t="n">
        <v>0</v>
      </c>
      <c r="J673" t="n">
        <v>0</v>
      </c>
      <c r="L673" t="n">
        <v>1</v>
      </c>
      <c r="R673" t="inlineStr">
        <is>
          <t>customer110@example.com</t>
        </is>
      </c>
      <c r="S673">
        <f>+919890697461</f>
        <v/>
      </c>
      <c r="T673" t="inlineStr">
        <is>
          <t>[]</t>
        </is>
      </c>
      <c r="U673" t="n">
        <v>19.98</v>
      </c>
      <c r="V673" t="n">
        <v>3.6</v>
      </c>
      <c r="Y673" s="1" t="n">
        <v>46172.61474537037</v>
      </c>
    </row>
    <row r="674">
      <c r="A674" t="inlineStr">
        <is>
          <t>pay_a3HYUVhhFoaHWn</t>
        </is>
      </c>
      <c r="B674" t="n">
        <v>999</v>
      </c>
      <c r="C674" t="inlineStr">
        <is>
          <t>INR</t>
        </is>
      </c>
      <c r="D674" t="inlineStr">
        <is>
          <t>captured</t>
        </is>
      </c>
      <c r="E674" t="inlineStr">
        <is>
          <t>order_uwyHF1whxVxFOR</t>
        </is>
      </c>
      <c r="G674" t="n">
        <v>0</v>
      </c>
      <c r="H674" t="inlineStr">
        <is>
          <t>upi</t>
        </is>
      </c>
      <c r="I674" t="n">
        <v>0</v>
      </c>
      <c r="J674" t="n">
        <v>0</v>
      </c>
      <c r="L674" t="n">
        <v>1</v>
      </c>
      <c r="R674" t="inlineStr">
        <is>
          <t>customer576@example.com</t>
        </is>
      </c>
      <c r="S674">
        <f>+919826829297</f>
        <v/>
      </c>
      <c r="T674" t="inlineStr">
        <is>
          <t>[]</t>
        </is>
      </c>
      <c r="U674" t="n">
        <v>19.98</v>
      </c>
      <c r="V674" t="n">
        <v>3.6</v>
      </c>
      <c r="Y674" s="1" t="n">
        <v>46163.45604166666</v>
      </c>
    </row>
    <row r="675">
      <c r="A675" t="inlineStr">
        <is>
          <t>pay_lYR0GECPukCgmX</t>
        </is>
      </c>
      <c r="B675" t="n">
        <v>3999</v>
      </c>
      <c r="C675" t="inlineStr">
        <is>
          <t>INR</t>
        </is>
      </c>
      <c r="D675" t="inlineStr">
        <is>
          <t>captured</t>
        </is>
      </c>
      <c r="E675" t="inlineStr">
        <is>
          <t>order_TtHGxVSVv1euMD</t>
        </is>
      </c>
      <c r="G675" t="n">
        <v>0</v>
      </c>
      <c r="H675" t="inlineStr">
        <is>
          <t>upi</t>
        </is>
      </c>
      <c r="I675" t="n">
        <v>0</v>
      </c>
      <c r="J675" t="n">
        <v>0</v>
      </c>
      <c r="L675" t="n">
        <v>1</v>
      </c>
      <c r="R675" t="inlineStr">
        <is>
          <t>customer23@example.com</t>
        </is>
      </c>
      <c r="S675">
        <f>+919833249471</f>
        <v/>
      </c>
      <c r="T675" t="inlineStr">
        <is>
          <t>[]</t>
        </is>
      </c>
      <c r="U675" t="n">
        <v>79.98</v>
      </c>
      <c r="V675" t="n">
        <v>14.4</v>
      </c>
      <c r="Y675" s="1" t="n">
        <v>46170.48565972222</v>
      </c>
    </row>
    <row r="676">
      <c r="A676" t="inlineStr">
        <is>
          <t>pay_YtgcE82OVbWKnc</t>
        </is>
      </c>
      <c r="B676" t="n">
        <v>1799</v>
      </c>
      <c r="C676" t="inlineStr">
        <is>
          <t>INR</t>
        </is>
      </c>
      <c r="D676" t="inlineStr">
        <is>
          <t>captured</t>
        </is>
      </c>
      <c r="E676" t="inlineStr">
        <is>
          <t>order_3QJlj1Zm7PWVuy</t>
        </is>
      </c>
      <c r="G676" t="n">
        <v>0</v>
      </c>
      <c r="H676" t="inlineStr">
        <is>
          <t>card</t>
        </is>
      </c>
      <c r="I676" t="n">
        <v>0</v>
      </c>
      <c r="J676" t="n">
        <v>0</v>
      </c>
      <c r="L676" t="n">
        <v>1</v>
      </c>
      <c r="R676" t="inlineStr">
        <is>
          <t>customer702@example.com</t>
        </is>
      </c>
      <c r="S676">
        <f>+919825132802</f>
        <v/>
      </c>
      <c r="T676" t="inlineStr">
        <is>
          <t>[]</t>
        </is>
      </c>
      <c r="U676" t="n">
        <v>35.98</v>
      </c>
      <c r="V676" t="n">
        <v>6.48</v>
      </c>
      <c r="Y676" s="1" t="n">
        <v>46154.90877314815</v>
      </c>
    </row>
    <row r="677">
      <c r="A677" t="inlineStr">
        <is>
          <t>pay_VBdUFiZkJA7BOa</t>
        </is>
      </c>
      <c r="B677" t="n">
        <v>2499</v>
      </c>
      <c r="C677" t="inlineStr">
        <is>
          <t>INR</t>
        </is>
      </c>
      <c r="D677" t="inlineStr">
        <is>
          <t>captured</t>
        </is>
      </c>
      <c r="E677" t="inlineStr">
        <is>
          <t>order_wWiKHoLTzkAidZ</t>
        </is>
      </c>
      <c r="G677" t="n">
        <v>0</v>
      </c>
      <c r="H677" t="inlineStr">
        <is>
          <t>upi</t>
        </is>
      </c>
      <c r="I677" t="n">
        <v>0</v>
      </c>
      <c r="J677" t="n">
        <v>0</v>
      </c>
      <c r="L677" t="n">
        <v>1</v>
      </c>
      <c r="R677" t="inlineStr">
        <is>
          <t>customer59@example.com</t>
        </is>
      </c>
      <c r="S677">
        <f>+919838237621</f>
        <v/>
      </c>
      <c r="T677" t="inlineStr">
        <is>
          <t>[]</t>
        </is>
      </c>
      <c r="U677" t="n">
        <v>49.98</v>
      </c>
      <c r="V677" t="n">
        <v>9</v>
      </c>
      <c r="Y677" s="1" t="n">
        <v>46146.34621527778</v>
      </c>
    </row>
    <row r="678">
      <c r="A678" t="inlineStr">
        <is>
          <t>pay_2yoG8pLHbgtURg</t>
        </is>
      </c>
      <c r="B678" t="n">
        <v>2499</v>
      </c>
      <c r="C678" t="inlineStr">
        <is>
          <t>INR</t>
        </is>
      </c>
      <c r="D678" t="inlineStr">
        <is>
          <t>captured</t>
        </is>
      </c>
      <c r="E678" t="inlineStr">
        <is>
          <t>order_IGmlgvTdBLfg9V</t>
        </is>
      </c>
      <c r="G678" t="n">
        <v>0</v>
      </c>
      <c r="H678" t="inlineStr">
        <is>
          <t>netbanking</t>
        </is>
      </c>
      <c r="I678" t="n">
        <v>0</v>
      </c>
      <c r="J678" t="n">
        <v>0</v>
      </c>
      <c r="L678" t="n">
        <v>1</v>
      </c>
      <c r="R678" t="inlineStr">
        <is>
          <t>customer639@example.com</t>
        </is>
      </c>
      <c r="S678">
        <f>+919864964902</f>
        <v/>
      </c>
      <c r="T678" t="inlineStr">
        <is>
          <t>[]</t>
        </is>
      </c>
      <c r="U678" t="n">
        <v>49.98</v>
      </c>
      <c r="V678" t="n">
        <v>9</v>
      </c>
      <c r="Y678" s="1" t="n">
        <v>46170.57140046296</v>
      </c>
    </row>
    <row r="679">
      <c r="A679" t="inlineStr">
        <is>
          <t>pay_kKiSzlvRYrQxNF</t>
        </is>
      </c>
      <c r="B679" t="n">
        <v>999</v>
      </c>
      <c r="C679" t="inlineStr">
        <is>
          <t>INR</t>
        </is>
      </c>
      <c r="D679" t="inlineStr">
        <is>
          <t>failed</t>
        </is>
      </c>
      <c r="E679" t="inlineStr">
        <is>
          <t>order_FJKnQI7nniPzHQ</t>
        </is>
      </c>
      <c r="G679" t="n">
        <v>0</v>
      </c>
      <c r="H679" t="inlineStr">
        <is>
          <t>upi</t>
        </is>
      </c>
      <c r="I679" t="n">
        <v>0</v>
      </c>
      <c r="J679" t="n">
        <v>0</v>
      </c>
      <c r="L679" t="n">
        <v>0</v>
      </c>
      <c r="R679" t="inlineStr">
        <is>
          <t>customer214@example.com</t>
        </is>
      </c>
      <c r="S679">
        <f>+919831755952</f>
        <v/>
      </c>
      <c r="T679" t="inlineStr">
        <is>
          <t>[]</t>
        </is>
      </c>
      <c r="W679" t="inlineStr">
        <is>
          <t>BAD_REQUEST_ERROR</t>
        </is>
      </c>
      <c r="X679" t="inlineStr">
        <is>
          <t>Payment was not completed on time</t>
        </is>
      </c>
      <c r="Y679" s="1" t="n">
        <v>46173.74489583333</v>
      </c>
    </row>
    <row r="680">
      <c r="A680" t="inlineStr">
        <is>
          <t>pay_P2yVoPLGYfySQg</t>
        </is>
      </c>
      <c r="B680" t="n">
        <v>999</v>
      </c>
      <c r="C680" t="inlineStr">
        <is>
          <t>INR</t>
        </is>
      </c>
      <c r="D680" t="inlineStr">
        <is>
          <t>captured</t>
        </is>
      </c>
      <c r="E680" t="inlineStr">
        <is>
          <t>order_FJKnQI7nniPzHQ</t>
        </is>
      </c>
      <c r="G680" t="n">
        <v>0</v>
      </c>
      <c r="H680" t="inlineStr">
        <is>
          <t>upi</t>
        </is>
      </c>
      <c r="I680" t="n">
        <v>0</v>
      </c>
      <c r="J680" t="n">
        <v>0</v>
      </c>
      <c r="L680" t="n">
        <v>1</v>
      </c>
      <c r="R680" t="inlineStr">
        <is>
          <t>customer385@example.com</t>
        </is>
      </c>
      <c r="S680">
        <f>+919821814327</f>
        <v/>
      </c>
      <c r="T680" t="inlineStr">
        <is>
          <t>[]</t>
        </is>
      </c>
      <c r="U680" t="n">
        <v>19.98</v>
      </c>
      <c r="V680" t="n">
        <v>3.6</v>
      </c>
      <c r="Y680" s="1" t="n">
        <v>46173.74840277778</v>
      </c>
    </row>
    <row r="681">
      <c r="A681" t="inlineStr">
        <is>
          <t>pay_4skJXkxfZsBRdA</t>
        </is>
      </c>
      <c r="B681" t="n">
        <v>1499</v>
      </c>
      <c r="C681" t="inlineStr">
        <is>
          <t>INR</t>
        </is>
      </c>
      <c r="D681" t="inlineStr">
        <is>
          <t>failed</t>
        </is>
      </c>
      <c r="E681" t="inlineStr">
        <is>
          <t>order_1GuUljStU3XSEe</t>
        </is>
      </c>
      <c r="G681" t="n">
        <v>0</v>
      </c>
      <c r="H681" t="inlineStr">
        <is>
          <t>netbanking</t>
        </is>
      </c>
      <c r="I681" t="n">
        <v>0</v>
      </c>
      <c r="J681" t="n">
        <v>0</v>
      </c>
      <c r="L681" t="n">
        <v>0</v>
      </c>
      <c r="R681" t="inlineStr">
        <is>
          <t>customer343@example.com</t>
        </is>
      </c>
      <c r="S681">
        <f>+919848151231</f>
        <v/>
      </c>
      <c r="T681" t="inlineStr">
        <is>
          <t>[]</t>
        </is>
      </c>
      <c r="W681" t="inlineStr">
        <is>
          <t>BAD_REQUEST_ERROR</t>
        </is>
      </c>
      <c r="X681" t="inlineStr">
        <is>
          <t>Bank server unavailable</t>
        </is>
      </c>
      <c r="Y681" s="1" t="n">
        <v>46155.07974537037</v>
      </c>
    </row>
    <row r="682">
      <c r="A682" t="inlineStr">
        <is>
          <t>pay_6v8JRzncOCCC0l</t>
        </is>
      </c>
      <c r="B682" t="n">
        <v>1499</v>
      </c>
      <c r="C682" t="inlineStr">
        <is>
          <t>INR</t>
        </is>
      </c>
      <c r="D682" t="inlineStr">
        <is>
          <t>failed</t>
        </is>
      </c>
      <c r="E682" t="inlineStr">
        <is>
          <t>order_1GuUljStU3XSEe</t>
        </is>
      </c>
      <c r="G682" t="n">
        <v>0</v>
      </c>
      <c r="H682" t="inlineStr">
        <is>
          <t>card</t>
        </is>
      </c>
      <c r="I682" t="n">
        <v>0</v>
      </c>
      <c r="J682" t="n">
        <v>0</v>
      </c>
      <c r="L682" t="n">
        <v>0</v>
      </c>
      <c r="R682" t="inlineStr">
        <is>
          <t>customer868@example.com</t>
        </is>
      </c>
      <c r="S682">
        <f>+919885109855</f>
        <v/>
      </c>
      <c r="T682" t="inlineStr">
        <is>
          <t>[]</t>
        </is>
      </c>
      <c r="W682" t="inlineStr">
        <is>
          <t>BAD_REQUEST_ERROR</t>
        </is>
      </c>
      <c r="X682" t="inlineStr">
        <is>
          <t>Payment cancelled by user</t>
        </is>
      </c>
      <c r="Y682" s="1" t="n">
        <v>46155.08420138889</v>
      </c>
    </row>
    <row r="683">
      <c r="A683" t="inlineStr">
        <is>
          <t>pay_ypCKyyFERrwpeW</t>
        </is>
      </c>
      <c r="B683" t="n">
        <v>1499</v>
      </c>
      <c r="C683" t="inlineStr">
        <is>
          <t>INR</t>
        </is>
      </c>
      <c r="D683" t="inlineStr">
        <is>
          <t>captured</t>
        </is>
      </c>
      <c r="E683" t="inlineStr">
        <is>
          <t>order_1GuUljStU3XSEe</t>
        </is>
      </c>
      <c r="G683" t="n">
        <v>0</v>
      </c>
      <c r="H683" t="inlineStr">
        <is>
          <t>upi</t>
        </is>
      </c>
      <c r="I683" t="n">
        <v>0</v>
      </c>
      <c r="J683" t="n">
        <v>0</v>
      </c>
      <c r="L683" t="n">
        <v>1</v>
      </c>
      <c r="R683" t="inlineStr">
        <is>
          <t>customer374@example.com</t>
        </is>
      </c>
      <c r="S683">
        <f>+919816993990</f>
        <v/>
      </c>
      <c r="T683" t="inlineStr">
        <is>
          <t>[]</t>
        </is>
      </c>
      <c r="U683" t="n">
        <v>29.98</v>
      </c>
      <c r="V683" t="n">
        <v>5.4</v>
      </c>
      <c r="Y683" s="1" t="n">
        <v>46155.09096064815</v>
      </c>
    </row>
    <row r="684">
      <c r="A684" t="inlineStr">
        <is>
          <t>pay_zmGFYId4OMGqye</t>
        </is>
      </c>
      <c r="B684" t="n">
        <v>999</v>
      </c>
      <c r="C684" t="inlineStr">
        <is>
          <t>INR</t>
        </is>
      </c>
      <c r="D684" t="inlineStr">
        <is>
          <t>failed</t>
        </is>
      </c>
      <c r="E684" t="inlineStr">
        <is>
          <t>order_BL1FMKT4tALeDi</t>
        </is>
      </c>
      <c r="G684" t="n">
        <v>0</v>
      </c>
      <c r="H684" t="inlineStr">
        <is>
          <t>card</t>
        </is>
      </c>
      <c r="I684" t="n">
        <v>0</v>
      </c>
      <c r="J684" t="n">
        <v>0</v>
      </c>
      <c r="L684" t="n">
        <v>0</v>
      </c>
      <c r="R684" t="inlineStr">
        <is>
          <t>customer859@example.com</t>
        </is>
      </c>
      <c r="S684">
        <f>+919820392806</f>
        <v/>
      </c>
      <c r="T684" t="inlineStr">
        <is>
          <t>[]</t>
        </is>
      </c>
      <c r="W684" t="inlineStr">
        <is>
          <t>BAD_REQUEST_ERROR</t>
        </is>
      </c>
      <c r="X684" t="inlineStr">
        <is>
          <t>Card declined by bank</t>
        </is>
      </c>
      <c r="Y684" s="1" t="n">
        <v>46148.15270833333</v>
      </c>
    </row>
    <row r="685">
      <c r="A685" t="inlineStr">
        <is>
          <t>pay_h7lNCgs2Yr8zmy</t>
        </is>
      </c>
      <c r="B685" t="n">
        <v>999</v>
      </c>
      <c r="C685" t="inlineStr">
        <is>
          <t>INR</t>
        </is>
      </c>
      <c r="D685" t="inlineStr">
        <is>
          <t>failed</t>
        </is>
      </c>
      <c r="E685" t="inlineStr">
        <is>
          <t>order_hizbsC0herAphA</t>
        </is>
      </c>
      <c r="G685" t="n">
        <v>0</v>
      </c>
      <c r="H685" t="inlineStr">
        <is>
          <t>upi</t>
        </is>
      </c>
      <c r="I685" t="n">
        <v>0</v>
      </c>
      <c r="J685" t="n">
        <v>0</v>
      </c>
      <c r="L685" t="n">
        <v>0</v>
      </c>
      <c r="R685" t="inlineStr">
        <is>
          <t>customer286@example.com</t>
        </is>
      </c>
      <c r="S685">
        <f>+919836143632</f>
        <v/>
      </c>
      <c r="T685" t="inlineStr">
        <is>
          <t>[]</t>
        </is>
      </c>
      <c r="W685" t="inlineStr">
        <is>
          <t>BAD_REQUEST_ERROR</t>
        </is>
      </c>
      <c r="X685" t="inlineStr">
        <is>
          <t>Payment was not completed on time</t>
        </is>
      </c>
      <c r="Y685" s="1" t="n">
        <v>46151.10197916667</v>
      </c>
    </row>
    <row r="686">
      <c r="A686" t="inlineStr">
        <is>
          <t>pay_oLeZra6fQYnXdf</t>
        </is>
      </c>
      <c r="B686" t="n">
        <v>1799</v>
      </c>
      <c r="C686" t="inlineStr">
        <is>
          <t>INR</t>
        </is>
      </c>
      <c r="D686" t="inlineStr">
        <is>
          <t>captured</t>
        </is>
      </c>
      <c r="E686" t="inlineStr">
        <is>
          <t>order_2Imu8SsValyLbM</t>
        </is>
      </c>
      <c r="G686" t="n">
        <v>0</v>
      </c>
      <c r="H686" t="inlineStr">
        <is>
          <t>card</t>
        </is>
      </c>
      <c r="I686" t="n">
        <v>0</v>
      </c>
      <c r="J686" t="n">
        <v>0</v>
      </c>
      <c r="L686" t="n">
        <v>1</v>
      </c>
      <c r="R686" t="inlineStr">
        <is>
          <t>customer882@example.com</t>
        </is>
      </c>
      <c r="S686">
        <f>+919868721438</f>
        <v/>
      </c>
      <c r="T686" t="inlineStr">
        <is>
          <t>[]</t>
        </is>
      </c>
      <c r="U686" t="n">
        <v>35.98</v>
      </c>
      <c r="V686" t="n">
        <v>6.48</v>
      </c>
      <c r="Y686" s="1" t="n">
        <v>46148.88645833333</v>
      </c>
    </row>
    <row r="687">
      <c r="A687" t="inlineStr">
        <is>
          <t>pay_LaFuNAkr1t3q5d</t>
        </is>
      </c>
      <c r="B687" t="n">
        <v>2499</v>
      </c>
      <c r="C687" t="inlineStr">
        <is>
          <t>INR</t>
        </is>
      </c>
      <c r="D687" t="inlineStr">
        <is>
          <t>captured</t>
        </is>
      </c>
      <c r="E687" t="inlineStr">
        <is>
          <t>order_rgBUY3YX4BWShx</t>
        </is>
      </c>
      <c r="G687" t="n">
        <v>0</v>
      </c>
      <c r="H687" t="inlineStr">
        <is>
          <t>card</t>
        </is>
      </c>
      <c r="I687" t="n">
        <v>0</v>
      </c>
      <c r="J687" t="n">
        <v>0</v>
      </c>
      <c r="L687" t="n">
        <v>1</v>
      </c>
      <c r="R687" t="inlineStr">
        <is>
          <t>customer392@example.com</t>
        </is>
      </c>
      <c r="S687">
        <f>+919889363723</f>
        <v/>
      </c>
      <c r="T687" t="inlineStr">
        <is>
          <t>[]</t>
        </is>
      </c>
      <c r="U687" t="n">
        <v>49.98</v>
      </c>
      <c r="V687" t="n">
        <v>9</v>
      </c>
      <c r="Y687" s="1" t="n">
        <v>46157.27365740741</v>
      </c>
    </row>
    <row r="688">
      <c r="A688" t="inlineStr">
        <is>
          <t>pay_2ADRafEuW3cQ2r</t>
        </is>
      </c>
      <c r="B688" t="n">
        <v>499</v>
      </c>
      <c r="C688" t="inlineStr">
        <is>
          <t>INR</t>
        </is>
      </c>
      <c r="D688" t="inlineStr">
        <is>
          <t>captured</t>
        </is>
      </c>
      <c r="E688" t="inlineStr">
        <is>
          <t>order_wK9VVW908hJ5Jw</t>
        </is>
      </c>
      <c r="G688" t="n">
        <v>0</v>
      </c>
      <c r="H688" t="inlineStr">
        <is>
          <t>upi</t>
        </is>
      </c>
      <c r="I688" t="n">
        <v>0</v>
      </c>
      <c r="J688" t="n">
        <v>0</v>
      </c>
      <c r="L688" t="n">
        <v>1</v>
      </c>
      <c r="R688" t="inlineStr">
        <is>
          <t>customer486@example.com</t>
        </is>
      </c>
      <c r="S688">
        <f>+919868359180</f>
        <v/>
      </c>
      <c r="T688" t="inlineStr">
        <is>
          <t>[]</t>
        </is>
      </c>
      <c r="U688" t="n">
        <v>9.98</v>
      </c>
      <c r="V688" t="n">
        <v>1.8</v>
      </c>
      <c r="Y688" s="1" t="n">
        <v>46162.48237268518</v>
      </c>
    </row>
    <row r="689">
      <c r="A689" t="inlineStr">
        <is>
          <t>pay_sGYotDKuWvCuEW</t>
        </is>
      </c>
      <c r="B689" t="n">
        <v>1499</v>
      </c>
      <c r="C689" t="inlineStr">
        <is>
          <t>INR</t>
        </is>
      </c>
      <c r="D689" t="inlineStr">
        <is>
          <t>captured</t>
        </is>
      </c>
      <c r="E689" t="inlineStr">
        <is>
          <t>order_oIJ9WwzSXLGCXc</t>
        </is>
      </c>
      <c r="G689" t="n">
        <v>0</v>
      </c>
      <c r="H689" t="inlineStr">
        <is>
          <t>upi</t>
        </is>
      </c>
      <c r="I689" t="n">
        <v>0</v>
      </c>
      <c r="J689" t="n">
        <v>0</v>
      </c>
      <c r="L689" t="n">
        <v>1</v>
      </c>
      <c r="R689" t="inlineStr">
        <is>
          <t>customer219@example.com</t>
        </is>
      </c>
      <c r="S689">
        <f>+919868743826</f>
        <v/>
      </c>
      <c r="T689" t="inlineStr">
        <is>
          <t>[]</t>
        </is>
      </c>
      <c r="U689" t="n">
        <v>29.98</v>
      </c>
      <c r="V689" t="n">
        <v>5.4</v>
      </c>
      <c r="Y689" s="1" t="n">
        <v>46158.23748842593</v>
      </c>
    </row>
    <row r="690">
      <c r="A690" t="inlineStr">
        <is>
          <t>pay_iEQaZpw5iu7lGS</t>
        </is>
      </c>
      <c r="B690" t="n">
        <v>1499</v>
      </c>
      <c r="C690" t="inlineStr">
        <is>
          <t>INR</t>
        </is>
      </c>
      <c r="D690" t="inlineStr">
        <is>
          <t>captured</t>
        </is>
      </c>
      <c r="E690" t="inlineStr">
        <is>
          <t>order_nt6e2FBFzLwplu</t>
        </is>
      </c>
      <c r="G690" t="n">
        <v>0</v>
      </c>
      <c r="H690" t="inlineStr">
        <is>
          <t>upi</t>
        </is>
      </c>
      <c r="I690" t="n">
        <v>0</v>
      </c>
      <c r="J690" t="n">
        <v>0</v>
      </c>
      <c r="L690" t="n">
        <v>1</v>
      </c>
      <c r="R690" t="inlineStr">
        <is>
          <t>customer832@example.com</t>
        </is>
      </c>
      <c r="S690">
        <f>+919861491843</f>
        <v/>
      </c>
      <c r="T690" t="inlineStr">
        <is>
          <t>[]</t>
        </is>
      </c>
      <c r="U690" t="n">
        <v>29.98</v>
      </c>
      <c r="V690" t="n">
        <v>5.4</v>
      </c>
      <c r="Y690" s="1" t="n">
        <v>46157.93570601852</v>
      </c>
    </row>
    <row r="691">
      <c r="A691" t="inlineStr">
        <is>
          <t>pay_7QQtuVAtOkEzOG</t>
        </is>
      </c>
      <c r="B691" t="n">
        <v>1799</v>
      </c>
      <c r="C691" t="inlineStr">
        <is>
          <t>INR</t>
        </is>
      </c>
      <c r="D691" t="inlineStr">
        <is>
          <t>captured</t>
        </is>
      </c>
      <c r="E691" t="inlineStr">
        <is>
          <t>order_FRVJzVfwwLoQb4</t>
        </is>
      </c>
      <c r="G691" t="n">
        <v>0</v>
      </c>
      <c r="H691" t="inlineStr">
        <is>
          <t>upi</t>
        </is>
      </c>
      <c r="I691" t="n">
        <v>0</v>
      </c>
      <c r="J691" t="n">
        <v>0</v>
      </c>
      <c r="L691" t="n">
        <v>1</v>
      </c>
      <c r="R691" t="inlineStr">
        <is>
          <t>customer188@example.com</t>
        </is>
      </c>
      <c r="S691">
        <f>+919830602150</f>
        <v/>
      </c>
      <c r="T691" t="inlineStr">
        <is>
          <t>[]</t>
        </is>
      </c>
      <c r="U691" t="n">
        <v>35.98</v>
      </c>
      <c r="V691" t="n">
        <v>6.48</v>
      </c>
      <c r="Y691" s="1" t="n">
        <v>46155.36185185185</v>
      </c>
    </row>
    <row r="692">
      <c r="A692" t="inlineStr">
        <is>
          <t>pay_B739AjAk6kVmVL</t>
        </is>
      </c>
      <c r="B692" t="n">
        <v>999</v>
      </c>
      <c r="C692" t="inlineStr">
        <is>
          <t>INR</t>
        </is>
      </c>
      <c r="D692" t="inlineStr">
        <is>
          <t>captured</t>
        </is>
      </c>
      <c r="E692" t="inlineStr">
        <is>
          <t>order_kQof8xLhEUY0Rw</t>
        </is>
      </c>
      <c r="G692" t="n">
        <v>0</v>
      </c>
      <c r="H692" t="inlineStr">
        <is>
          <t>card</t>
        </is>
      </c>
      <c r="I692" t="n">
        <v>0</v>
      </c>
      <c r="J692" t="n">
        <v>0</v>
      </c>
      <c r="L692" t="n">
        <v>1</v>
      </c>
      <c r="R692" t="inlineStr">
        <is>
          <t>customer196@example.com</t>
        </is>
      </c>
      <c r="S692">
        <f>+919822629928</f>
        <v/>
      </c>
      <c r="T692" t="inlineStr">
        <is>
          <t>[]</t>
        </is>
      </c>
      <c r="U692" t="n">
        <v>19.98</v>
      </c>
      <c r="V692" t="n">
        <v>3.6</v>
      </c>
      <c r="Y692" s="1" t="n">
        <v>46154.54893518519</v>
      </c>
    </row>
    <row r="693">
      <c r="A693" t="inlineStr">
        <is>
          <t>pay_Mv7YQwgf42iDFL</t>
        </is>
      </c>
      <c r="B693" t="n">
        <v>2499</v>
      </c>
      <c r="C693" t="inlineStr">
        <is>
          <t>INR</t>
        </is>
      </c>
      <c r="D693" t="inlineStr">
        <is>
          <t>captured</t>
        </is>
      </c>
      <c r="E693" t="inlineStr">
        <is>
          <t>order_e61ClG3aP6DfYW</t>
        </is>
      </c>
      <c r="G693" t="n">
        <v>0</v>
      </c>
      <c r="H693" t="inlineStr">
        <is>
          <t>netbanking</t>
        </is>
      </c>
      <c r="I693" t="n">
        <v>0</v>
      </c>
      <c r="J693" t="n">
        <v>0</v>
      </c>
      <c r="L693" t="n">
        <v>1</v>
      </c>
      <c r="R693" t="inlineStr">
        <is>
          <t>customer861@example.com</t>
        </is>
      </c>
      <c r="S693">
        <f>+919887149000</f>
        <v/>
      </c>
      <c r="T693" t="inlineStr">
        <is>
          <t>[]</t>
        </is>
      </c>
      <c r="U693" t="n">
        <v>49.98</v>
      </c>
      <c r="V693" t="n">
        <v>9</v>
      </c>
      <c r="Y693" s="1" t="n">
        <v>46143.36385416667</v>
      </c>
    </row>
    <row r="694">
      <c r="A694" t="inlineStr">
        <is>
          <t>pay_gMendeUl5svSTh</t>
        </is>
      </c>
      <c r="B694" t="n">
        <v>999</v>
      </c>
      <c r="C694" t="inlineStr">
        <is>
          <t>INR</t>
        </is>
      </c>
      <c r="D694" t="inlineStr">
        <is>
          <t>captured</t>
        </is>
      </c>
      <c r="E694" t="inlineStr">
        <is>
          <t>order_GRcvpYSqNedQEv</t>
        </is>
      </c>
      <c r="G694" t="n">
        <v>0</v>
      </c>
      <c r="H694" t="inlineStr">
        <is>
          <t>upi</t>
        </is>
      </c>
      <c r="I694" t="n">
        <v>0</v>
      </c>
      <c r="J694" t="n">
        <v>0</v>
      </c>
      <c r="L694" t="n">
        <v>1</v>
      </c>
      <c r="R694" t="inlineStr">
        <is>
          <t>customer520@example.com</t>
        </is>
      </c>
      <c r="S694">
        <f>+919829350160</f>
        <v/>
      </c>
      <c r="T694" t="inlineStr">
        <is>
          <t>[]</t>
        </is>
      </c>
      <c r="U694" t="n">
        <v>19.98</v>
      </c>
      <c r="V694" t="n">
        <v>3.6</v>
      </c>
      <c r="Y694" s="1" t="n">
        <v>46143.84297453704</v>
      </c>
    </row>
    <row r="695">
      <c r="A695" t="inlineStr">
        <is>
          <t>pay_l0DK8LkBMTuawL</t>
        </is>
      </c>
      <c r="B695" t="n">
        <v>1499</v>
      </c>
      <c r="C695" t="inlineStr">
        <is>
          <t>INR</t>
        </is>
      </c>
      <c r="D695" t="inlineStr">
        <is>
          <t>captured</t>
        </is>
      </c>
      <c r="E695" t="inlineStr">
        <is>
          <t>order_EOod48qpXgjnvb</t>
        </is>
      </c>
      <c r="G695" t="n">
        <v>0</v>
      </c>
      <c r="H695" t="inlineStr">
        <is>
          <t>upi</t>
        </is>
      </c>
      <c r="I695" t="n">
        <v>0</v>
      </c>
      <c r="J695" t="n">
        <v>0</v>
      </c>
      <c r="L695" t="n">
        <v>1</v>
      </c>
      <c r="R695" t="inlineStr">
        <is>
          <t>customer60@example.com</t>
        </is>
      </c>
      <c r="S695">
        <f>+919849925162</f>
        <v/>
      </c>
      <c r="T695" t="inlineStr">
        <is>
          <t>[]</t>
        </is>
      </c>
      <c r="U695" t="n">
        <v>29.98</v>
      </c>
      <c r="V695" t="n">
        <v>5.4</v>
      </c>
      <c r="Y695" s="1" t="n">
        <v>46155.38592592593</v>
      </c>
    </row>
    <row r="696">
      <c r="A696" t="inlineStr">
        <is>
          <t>pay_ZMTeS2CqD2w47u</t>
        </is>
      </c>
      <c r="B696" t="n">
        <v>1799</v>
      </c>
      <c r="C696" t="inlineStr">
        <is>
          <t>INR</t>
        </is>
      </c>
      <c r="D696" t="inlineStr">
        <is>
          <t>captured</t>
        </is>
      </c>
      <c r="E696" t="inlineStr">
        <is>
          <t>order_kNIQNBZvonaYkL</t>
        </is>
      </c>
      <c r="G696" t="n">
        <v>0</v>
      </c>
      <c r="H696" t="inlineStr">
        <is>
          <t>netbanking</t>
        </is>
      </c>
      <c r="I696" t="n">
        <v>0</v>
      </c>
      <c r="J696" t="n">
        <v>0</v>
      </c>
      <c r="L696" t="n">
        <v>1</v>
      </c>
      <c r="R696" t="inlineStr">
        <is>
          <t>customer105@example.com</t>
        </is>
      </c>
      <c r="S696">
        <f>+919820166995</f>
        <v/>
      </c>
      <c r="T696" t="inlineStr">
        <is>
          <t>[]</t>
        </is>
      </c>
      <c r="U696" t="n">
        <v>35.98</v>
      </c>
      <c r="V696" t="n">
        <v>6.48</v>
      </c>
      <c r="Y696" s="1" t="n">
        <v>46157.9525</v>
      </c>
    </row>
    <row r="697">
      <c r="A697" t="inlineStr">
        <is>
          <t>pay_gFhQHHqFR25QOq</t>
        </is>
      </c>
      <c r="B697" t="n">
        <v>999</v>
      </c>
      <c r="C697" t="inlineStr">
        <is>
          <t>INR</t>
        </is>
      </c>
      <c r="D697" t="inlineStr">
        <is>
          <t>captured</t>
        </is>
      </c>
      <c r="E697" t="inlineStr">
        <is>
          <t>order_hpQ4L5oMLrpsbR</t>
        </is>
      </c>
      <c r="G697" t="n">
        <v>0</v>
      </c>
      <c r="H697" t="inlineStr">
        <is>
          <t>upi</t>
        </is>
      </c>
      <c r="I697" t="n">
        <v>0</v>
      </c>
      <c r="J697" t="n">
        <v>0</v>
      </c>
      <c r="L697" t="n">
        <v>1</v>
      </c>
      <c r="R697" t="inlineStr">
        <is>
          <t>customer400@example.com</t>
        </is>
      </c>
      <c r="S697">
        <f>+919876746004</f>
        <v/>
      </c>
      <c r="T697" t="inlineStr">
        <is>
          <t>[]</t>
        </is>
      </c>
      <c r="U697" t="n">
        <v>19.98</v>
      </c>
      <c r="V697" t="n">
        <v>3.6</v>
      </c>
      <c r="Y697" s="1" t="n">
        <v>46144.38702546297</v>
      </c>
    </row>
    <row r="698">
      <c r="A698" t="inlineStr">
        <is>
          <t>pay_AMVnIQayMZFCNk</t>
        </is>
      </c>
      <c r="B698" t="n">
        <v>2499</v>
      </c>
      <c r="C698" t="inlineStr">
        <is>
          <t>INR</t>
        </is>
      </c>
      <c r="D698" t="inlineStr">
        <is>
          <t>captured</t>
        </is>
      </c>
      <c r="E698" t="inlineStr">
        <is>
          <t>order_Id83Z5a8mdQp76</t>
        </is>
      </c>
      <c r="G698" t="n">
        <v>0</v>
      </c>
      <c r="H698" t="inlineStr">
        <is>
          <t>upi</t>
        </is>
      </c>
      <c r="I698" t="n">
        <v>0</v>
      </c>
      <c r="J698" t="n">
        <v>0</v>
      </c>
      <c r="L698" t="n">
        <v>1</v>
      </c>
      <c r="R698" t="inlineStr">
        <is>
          <t>customer178@example.com</t>
        </is>
      </c>
      <c r="S698">
        <f>+919876343992</f>
        <v/>
      </c>
      <c r="T698" t="inlineStr">
        <is>
          <t>[]</t>
        </is>
      </c>
      <c r="U698" t="n">
        <v>49.98</v>
      </c>
      <c r="V698" t="n">
        <v>9</v>
      </c>
      <c r="Y698" s="1" t="n">
        <v>46169.05931712963</v>
      </c>
    </row>
    <row r="699">
      <c r="A699" t="inlineStr">
        <is>
          <t>pay_icQ2rlAWfmxtMI</t>
        </is>
      </c>
      <c r="B699" t="n">
        <v>1499</v>
      </c>
      <c r="C699" t="inlineStr">
        <is>
          <t>INR</t>
        </is>
      </c>
      <c r="D699" t="inlineStr">
        <is>
          <t>captured</t>
        </is>
      </c>
      <c r="E699" t="inlineStr">
        <is>
          <t>order_KP8HTJ5lZj5tuF</t>
        </is>
      </c>
      <c r="G699" t="n">
        <v>0</v>
      </c>
      <c r="H699" t="inlineStr">
        <is>
          <t>upi</t>
        </is>
      </c>
      <c r="I699" t="n">
        <v>0</v>
      </c>
      <c r="J699" t="n">
        <v>0</v>
      </c>
      <c r="L699" t="n">
        <v>1</v>
      </c>
      <c r="R699" t="inlineStr">
        <is>
          <t>customer818@example.com</t>
        </is>
      </c>
      <c r="S699">
        <f>+919825038481</f>
        <v/>
      </c>
      <c r="T699" t="inlineStr">
        <is>
          <t>[]</t>
        </is>
      </c>
      <c r="U699" t="n">
        <v>29.98</v>
      </c>
      <c r="V699" t="n">
        <v>5.4</v>
      </c>
      <c r="Y699" s="1" t="n">
        <v>46151.47375</v>
      </c>
    </row>
    <row r="700">
      <c r="A700" t="inlineStr">
        <is>
          <t>pay_wjlMtwdmL7Nz3u</t>
        </is>
      </c>
      <c r="B700" t="n">
        <v>2499</v>
      </c>
      <c r="C700" t="inlineStr">
        <is>
          <t>INR</t>
        </is>
      </c>
      <c r="D700" t="inlineStr">
        <is>
          <t>captured</t>
        </is>
      </c>
      <c r="E700" t="inlineStr">
        <is>
          <t>order_hBi51rNzgjSmrC</t>
        </is>
      </c>
      <c r="G700" t="n">
        <v>0</v>
      </c>
      <c r="H700" t="inlineStr">
        <is>
          <t>card</t>
        </is>
      </c>
      <c r="I700" t="n">
        <v>0</v>
      </c>
      <c r="J700" t="n">
        <v>0</v>
      </c>
      <c r="L700" t="n">
        <v>1</v>
      </c>
      <c r="R700" t="inlineStr">
        <is>
          <t>customer900@example.com</t>
        </is>
      </c>
      <c r="S700">
        <f>+919849400013</f>
        <v/>
      </c>
      <c r="T700" t="inlineStr">
        <is>
          <t>[]</t>
        </is>
      </c>
      <c r="U700" t="n">
        <v>49.98</v>
      </c>
      <c r="V700" t="n">
        <v>9</v>
      </c>
      <c r="Y700" s="1" t="n">
        <v>46170.33684027778</v>
      </c>
    </row>
    <row r="701">
      <c r="A701" t="inlineStr">
        <is>
          <t>pay_N32ISXZ6aPkibl</t>
        </is>
      </c>
      <c r="B701" t="n">
        <v>1499</v>
      </c>
      <c r="C701" t="inlineStr">
        <is>
          <t>INR</t>
        </is>
      </c>
      <c r="D701" t="inlineStr">
        <is>
          <t>captured</t>
        </is>
      </c>
      <c r="E701" t="inlineStr">
        <is>
          <t>order_4iIzT6G3iIHRTW</t>
        </is>
      </c>
      <c r="G701" t="n">
        <v>0</v>
      </c>
      <c r="H701" t="inlineStr">
        <is>
          <t>upi</t>
        </is>
      </c>
      <c r="I701" t="n">
        <v>0</v>
      </c>
      <c r="J701" t="n">
        <v>0</v>
      </c>
      <c r="L701" t="n">
        <v>1</v>
      </c>
      <c r="R701" t="inlineStr">
        <is>
          <t>customer564@example.com</t>
        </is>
      </c>
      <c r="S701">
        <f>+919815907879</f>
        <v/>
      </c>
      <c r="T701" t="inlineStr">
        <is>
          <t>[]</t>
        </is>
      </c>
      <c r="U701" t="n">
        <v>29.98</v>
      </c>
      <c r="V701" t="n">
        <v>5.4</v>
      </c>
      <c r="Y701" s="1" t="n">
        <v>46145.19229166667</v>
      </c>
    </row>
    <row r="702">
      <c r="A702" t="inlineStr">
        <is>
          <t>pay_qt9nBWE8kwBsGJ</t>
        </is>
      </c>
      <c r="B702" t="n">
        <v>1799</v>
      </c>
      <c r="C702" t="inlineStr">
        <is>
          <t>INR</t>
        </is>
      </c>
      <c r="D702" t="inlineStr">
        <is>
          <t>failed</t>
        </is>
      </c>
      <c r="E702" t="inlineStr">
        <is>
          <t>order_KXW0MpRmD0QaVf</t>
        </is>
      </c>
      <c r="G702" t="n">
        <v>0</v>
      </c>
      <c r="H702" t="inlineStr">
        <is>
          <t>upi</t>
        </is>
      </c>
      <c r="I702" t="n">
        <v>0</v>
      </c>
      <c r="J702" t="n">
        <v>0</v>
      </c>
      <c r="L702" t="n">
        <v>0</v>
      </c>
      <c r="R702" t="inlineStr">
        <is>
          <t>customer606@example.com</t>
        </is>
      </c>
      <c r="S702">
        <f>+919869568439</f>
        <v/>
      </c>
      <c r="T702" t="inlineStr">
        <is>
          <t>[]</t>
        </is>
      </c>
      <c r="W702" t="inlineStr">
        <is>
          <t>BAD_REQUEST_ERROR</t>
        </is>
      </c>
      <c r="X702" t="inlineStr">
        <is>
          <t>Payment was not completed on time</t>
        </is>
      </c>
      <c r="Y702" s="1" t="n">
        <v>46152.12326388889</v>
      </c>
    </row>
    <row r="703">
      <c r="A703" t="inlineStr">
        <is>
          <t>pay_pPru181VHnwrJm</t>
        </is>
      </c>
      <c r="B703" t="n">
        <v>1799</v>
      </c>
      <c r="C703" t="inlineStr">
        <is>
          <t>INR</t>
        </is>
      </c>
      <c r="D703" t="inlineStr">
        <is>
          <t>captured</t>
        </is>
      </c>
      <c r="E703" t="inlineStr">
        <is>
          <t>order_NAHu3CSQBjySwj</t>
        </is>
      </c>
      <c r="G703" t="n">
        <v>0</v>
      </c>
      <c r="H703" t="inlineStr">
        <is>
          <t>card</t>
        </is>
      </c>
      <c r="I703" t="n">
        <v>0</v>
      </c>
      <c r="J703" t="n">
        <v>0</v>
      </c>
      <c r="L703" t="n">
        <v>1</v>
      </c>
      <c r="R703" t="inlineStr">
        <is>
          <t>customer388@example.com</t>
        </is>
      </c>
      <c r="S703">
        <f>+919876847346</f>
        <v/>
      </c>
      <c r="T703" t="inlineStr">
        <is>
          <t>[]</t>
        </is>
      </c>
      <c r="U703" t="n">
        <v>35.98</v>
      </c>
      <c r="V703" t="n">
        <v>6.48</v>
      </c>
      <c r="Y703" s="1" t="n">
        <v>46173.20388888889</v>
      </c>
    </row>
    <row r="704">
      <c r="A704" t="inlineStr">
        <is>
          <t>pay_tW2OEY5ORZcwVD</t>
        </is>
      </c>
      <c r="B704" t="n">
        <v>3999</v>
      </c>
      <c r="C704" t="inlineStr">
        <is>
          <t>INR</t>
        </is>
      </c>
      <c r="D704" t="inlineStr">
        <is>
          <t>failed</t>
        </is>
      </c>
      <c r="E704" t="inlineStr">
        <is>
          <t>order_QRc5CbB9yJA8VG</t>
        </is>
      </c>
      <c r="G704" t="n">
        <v>0</v>
      </c>
      <c r="H704" t="inlineStr">
        <is>
          <t>card</t>
        </is>
      </c>
      <c r="I704" t="n">
        <v>0</v>
      </c>
      <c r="J704" t="n">
        <v>0</v>
      </c>
      <c r="L704" t="n">
        <v>0</v>
      </c>
      <c r="R704" t="inlineStr">
        <is>
          <t>customer517@example.com</t>
        </is>
      </c>
      <c r="S704">
        <f>+919845958522</f>
        <v/>
      </c>
      <c r="T704" t="inlineStr">
        <is>
          <t>[]</t>
        </is>
      </c>
      <c r="W704" t="inlineStr">
        <is>
          <t>BAD_REQUEST_ERROR</t>
        </is>
      </c>
      <c r="X704" t="inlineStr">
        <is>
          <t>Card declined by bank</t>
        </is>
      </c>
      <c r="Y704" s="1" t="n">
        <v>46148.63012731481</v>
      </c>
    </row>
    <row r="705">
      <c r="A705" t="inlineStr">
        <is>
          <t>pay_s3Yn7pjlGFSBZI</t>
        </is>
      </c>
      <c r="B705" t="n">
        <v>499</v>
      </c>
      <c r="C705" t="inlineStr">
        <is>
          <t>INR</t>
        </is>
      </c>
      <c r="D705" t="inlineStr">
        <is>
          <t>captured</t>
        </is>
      </c>
      <c r="E705" t="inlineStr">
        <is>
          <t>order_rzBWWYjmtWf4fm</t>
        </is>
      </c>
      <c r="G705" t="n">
        <v>0</v>
      </c>
      <c r="H705" t="inlineStr">
        <is>
          <t>upi</t>
        </is>
      </c>
      <c r="I705" t="n">
        <v>0</v>
      </c>
      <c r="J705" t="n">
        <v>0</v>
      </c>
      <c r="L705" t="n">
        <v>1</v>
      </c>
      <c r="R705" t="inlineStr">
        <is>
          <t>customer600@example.com</t>
        </is>
      </c>
      <c r="S705">
        <f>+919856909842</f>
        <v/>
      </c>
      <c r="T705" t="inlineStr">
        <is>
          <t>[]</t>
        </is>
      </c>
      <c r="U705" t="n">
        <v>9.98</v>
      </c>
      <c r="V705" t="n">
        <v>1.8</v>
      </c>
      <c r="Y705" s="1" t="n">
        <v>46172.164375</v>
      </c>
    </row>
    <row r="706">
      <c r="A706" t="inlineStr">
        <is>
          <t>pay_0Yxs7RHPcUIVkE</t>
        </is>
      </c>
      <c r="B706" t="n">
        <v>2499</v>
      </c>
      <c r="C706" t="inlineStr">
        <is>
          <t>INR</t>
        </is>
      </c>
      <c r="D706" t="inlineStr">
        <is>
          <t>captured</t>
        </is>
      </c>
      <c r="E706" t="inlineStr">
        <is>
          <t>order_0GzTFiwvEKlCs3</t>
        </is>
      </c>
      <c r="G706" t="n">
        <v>0</v>
      </c>
      <c r="H706" t="inlineStr">
        <is>
          <t>netbanking</t>
        </is>
      </c>
      <c r="I706" t="n">
        <v>0</v>
      </c>
      <c r="J706" t="n">
        <v>0</v>
      </c>
      <c r="L706" t="n">
        <v>1</v>
      </c>
      <c r="R706" t="inlineStr">
        <is>
          <t>customer191@example.com</t>
        </is>
      </c>
      <c r="S706">
        <f>+919835977784</f>
        <v/>
      </c>
      <c r="T706" t="inlineStr">
        <is>
          <t>[]</t>
        </is>
      </c>
      <c r="U706" t="n">
        <v>49.98</v>
      </c>
      <c r="V706" t="n">
        <v>9</v>
      </c>
      <c r="Y706" s="1" t="n">
        <v>46161.23637731482</v>
      </c>
    </row>
    <row r="707">
      <c r="A707" t="inlineStr">
        <is>
          <t>pay_LcubgviCPhJbng</t>
        </is>
      </c>
      <c r="B707" t="n">
        <v>1499</v>
      </c>
      <c r="C707" t="inlineStr">
        <is>
          <t>INR</t>
        </is>
      </c>
      <c r="D707" t="inlineStr">
        <is>
          <t>captured</t>
        </is>
      </c>
      <c r="E707" t="inlineStr">
        <is>
          <t>order_NBE6cpbAT4mD45</t>
        </is>
      </c>
      <c r="G707" t="n">
        <v>0</v>
      </c>
      <c r="H707" t="inlineStr">
        <is>
          <t>upi</t>
        </is>
      </c>
      <c r="I707" t="n">
        <v>0</v>
      </c>
      <c r="J707" t="n">
        <v>0</v>
      </c>
      <c r="L707" t="n">
        <v>1</v>
      </c>
      <c r="R707" t="inlineStr">
        <is>
          <t>customer676@example.com</t>
        </is>
      </c>
      <c r="S707">
        <f>+919848711810</f>
        <v/>
      </c>
      <c r="T707" t="inlineStr">
        <is>
          <t>[]</t>
        </is>
      </c>
      <c r="U707" t="n">
        <v>29.98</v>
      </c>
      <c r="V707" t="n">
        <v>5.4</v>
      </c>
      <c r="Y707" s="1" t="n">
        <v>46150.5703125</v>
      </c>
    </row>
    <row r="708">
      <c r="A708" t="inlineStr">
        <is>
          <t>pay_qkLfvqPySVEGTm</t>
        </is>
      </c>
      <c r="B708" t="n">
        <v>2499</v>
      </c>
      <c r="C708" t="inlineStr">
        <is>
          <t>INR</t>
        </is>
      </c>
      <c r="D708" t="inlineStr">
        <is>
          <t>captured</t>
        </is>
      </c>
      <c r="E708" t="inlineStr">
        <is>
          <t>order_b5fJUPvPvocIFh</t>
        </is>
      </c>
      <c r="G708" t="n">
        <v>0</v>
      </c>
      <c r="H708" t="inlineStr">
        <is>
          <t>netbanking</t>
        </is>
      </c>
      <c r="I708" t="n">
        <v>0</v>
      </c>
      <c r="J708" t="n">
        <v>0</v>
      </c>
      <c r="L708" t="n">
        <v>1</v>
      </c>
      <c r="R708" t="inlineStr">
        <is>
          <t>customer787@example.com</t>
        </is>
      </c>
      <c r="S708">
        <f>+919814134011</f>
        <v/>
      </c>
      <c r="T708" t="inlineStr">
        <is>
          <t>[]</t>
        </is>
      </c>
      <c r="U708" t="n">
        <v>49.98</v>
      </c>
      <c r="V708" t="n">
        <v>9</v>
      </c>
      <c r="Y708" s="1" t="n">
        <v>46169.41965277777</v>
      </c>
    </row>
    <row r="709">
      <c r="A709" t="inlineStr">
        <is>
          <t>pay_N1YnSjgTNZSwul</t>
        </is>
      </c>
      <c r="B709" t="n">
        <v>3999</v>
      </c>
      <c r="C709" t="inlineStr">
        <is>
          <t>INR</t>
        </is>
      </c>
      <c r="D709" t="inlineStr">
        <is>
          <t>failed</t>
        </is>
      </c>
      <c r="E709" t="inlineStr">
        <is>
          <t>order_MvoKyGjzTN3m2K</t>
        </is>
      </c>
      <c r="G709" t="n">
        <v>0</v>
      </c>
      <c r="H709" t="inlineStr">
        <is>
          <t>upi</t>
        </is>
      </c>
      <c r="I709" t="n">
        <v>0</v>
      </c>
      <c r="J709" t="n">
        <v>0</v>
      </c>
      <c r="L709" t="n">
        <v>0</v>
      </c>
      <c r="R709" t="inlineStr">
        <is>
          <t>customer5@example.com</t>
        </is>
      </c>
      <c r="S709">
        <f>+919872901035</f>
        <v/>
      </c>
      <c r="T709" t="inlineStr">
        <is>
          <t>[]</t>
        </is>
      </c>
      <c r="W709" t="inlineStr">
        <is>
          <t>BAD_REQUEST_ERROR</t>
        </is>
      </c>
      <c r="X709" t="inlineStr">
        <is>
          <t>UPI app declined the request</t>
        </is>
      </c>
      <c r="Y709" s="1" t="n">
        <v>46164.96228009259</v>
      </c>
    </row>
    <row r="710">
      <c r="A710" t="inlineStr">
        <is>
          <t>pay_1LbhcqSiUAOSW2</t>
        </is>
      </c>
      <c r="B710" t="n">
        <v>3999</v>
      </c>
      <c r="C710" t="inlineStr">
        <is>
          <t>INR</t>
        </is>
      </c>
      <c r="D710" t="inlineStr">
        <is>
          <t>captured</t>
        </is>
      </c>
      <c r="E710" t="inlineStr">
        <is>
          <t>order_MvoKyGjzTN3m2K</t>
        </is>
      </c>
      <c r="G710" t="n">
        <v>0</v>
      </c>
      <c r="H710" t="inlineStr">
        <is>
          <t>card</t>
        </is>
      </c>
      <c r="I710" t="n">
        <v>0</v>
      </c>
      <c r="J710" t="n">
        <v>0</v>
      </c>
      <c r="L710" t="n">
        <v>1</v>
      </c>
      <c r="R710" t="inlineStr">
        <is>
          <t>customer32@example.com</t>
        </is>
      </c>
      <c r="S710">
        <f>+919831517597</f>
        <v/>
      </c>
      <c r="T710" t="inlineStr">
        <is>
          <t>[]</t>
        </is>
      </c>
      <c r="U710" t="n">
        <v>79.98</v>
      </c>
      <c r="V710" t="n">
        <v>14.4</v>
      </c>
      <c r="Y710" s="1" t="n">
        <v>46164.96783564815</v>
      </c>
    </row>
    <row r="711">
      <c r="A711" t="inlineStr">
        <is>
          <t>pay_FkFX3gwc7bYN8e</t>
        </is>
      </c>
      <c r="B711" t="n">
        <v>3999</v>
      </c>
      <c r="C711" t="inlineStr">
        <is>
          <t>INR</t>
        </is>
      </c>
      <c r="D711" t="inlineStr">
        <is>
          <t>captured</t>
        </is>
      </c>
      <c r="E711" t="inlineStr">
        <is>
          <t>order_sojtIYtDjjPc2c</t>
        </is>
      </c>
      <c r="G711" t="n">
        <v>0</v>
      </c>
      <c r="H711" t="inlineStr">
        <is>
          <t>upi</t>
        </is>
      </c>
      <c r="I711" t="n">
        <v>0</v>
      </c>
      <c r="J711" t="n">
        <v>0</v>
      </c>
      <c r="L711" t="n">
        <v>1</v>
      </c>
      <c r="R711" t="inlineStr">
        <is>
          <t>customer616@example.com</t>
        </is>
      </c>
      <c r="S711">
        <f>+919875510000</f>
        <v/>
      </c>
      <c r="T711" t="inlineStr">
        <is>
          <t>[]</t>
        </is>
      </c>
      <c r="U711" t="n">
        <v>79.98</v>
      </c>
      <c r="V711" t="n">
        <v>14.4</v>
      </c>
      <c r="Y711" s="1" t="n">
        <v>46160.164375</v>
      </c>
    </row>
    <row r="712">
      <c r="A712" t="inlineStr">
        <is>
          <t>pay_7tiegknw5gcHUw</t>
        </is>
      </c>
      <c r="B712" t="n">
        <v>1799</v>
      </c>
      <c r="C712" t="inlineStr">
        <is>
          <t>INR</t>
        </is>
      </c>
      <c r="D712" t="inlineStr">
        <is>
          <t>failed</t>
        </is>
      </c>
      <c r="E712" t="inlineStr">
        <is>
          <t>order_C8NqWZjPYTqjYH</t>
        </is>
      </c>
      <c r="G712" t="n">
        <v>0</v>
      </c>
      <c r="H712" t="inlineStr">
        <is>
          <t>card</t>
        </is>
      </c>
      <c r="I712" t="n">
        <v>0</v>
      </c>
      <c r="J712" t="n">
        <v>0</v>
      </c>
      <c r="L712" t="n">
        <v>0</v>
      </c>
      <c r="R712" t="inlineStr">
        <is>
          <t>customer501@example.com</t>
        </is>
      </c>
      <c r="S712">
        <f>+919892382990</f>
        <v/>
      </c>
      <c r="T712" t="inlineStr">
        <is>
          <t>[]</t>
        </is>
      </c>
      <c r="W712" t="inlineStr">
        <is>
          <t>BAD_REQUEST_ERROR</t>
        </is>
      </c>
      <c r="X712" t="inlineStr">
        <is>
          <t>Payment failed due to incorrect OTP</t>
        </is>
      </c>
      <c r="Y712" s="1" t="n">
        <v>46154.03033564815</v>
      </c>
    </row>
    <row r="713">
      <c r="A713" t="inlineStr">
        <is>
          <t>pay_N1c3J6aeWN4F2s</t>
        </is>
      </c>
      <c r="B713" t="n">
        <v>1799</v>
      </c>
      <c r="C713" t="inlineStr">
        <is>
          <t>INR</t>
        </is>
      </c>
      <c r="D713" t="inlineStr">
        <is>
          <t>captured</t>
        </is>
      </c>
      <c r="E713" t="inlineStr">
        <is>
          <t>order_C8NqWZjPYTqjYH</t>
        </is>
      </c>
      <c r="G713" t="n">
        <v>0</v>
      </c>
      <c r="H713" t="inlineStr">
        <is>
          <t>upi</t>
        </is>
      </c>
      <c r="I713" t="n">
        <v>0</v>
      </c>
      <c r="J713" t="n">
        <v>0</v>
      </c>
      <c r="L713" t="n">
        <v>1</v>
      </c>
      <c r="R713" t="inlineStr">
        <is>
          <t>customer380@example.com</t>
        </is>
      </c>
      <c r="S713">
        <f>+919886207375</f>
        <v/>
      </c>
      <c r="T713" t="inlineStr">
        <is>
          <t>[]</t>
        </is>
      </c>
      <c r="U713" t="n">
        <v>35.98</v>
      </c>
      <c r="V713" t="n">
        <v>6.48</v>
      </c>
      <c r="Y713" s="1" t="n">
        <v>46154.03364583333</v>
      </c>
    </row>
    <row r="714">
      <c r="A714" t="inlineStr">
        <is>
          <t>pay_IuWSzqBjuGCu91</t>
        </is>
      </c>
      <c r="B714" t="n">
        <v>1499</v>
      </c>
      <c r="C714" t="inlineStr">
        <is>
          <t>INR</t>
        </is>
      </c>
      <c r="D714" t="inlineStr">
        <is>
          <t>captured</t>
        </is>
      </c>
      <c r="E714" t="inlineStr">
        <is>
          <t>order_jvXwJoY2s3PC5u</t>
        </is>
      </c>
      <c r="G714" t="n">
        <v>0</v>
      </c>
      <c r="H714" t="inlineStr">
        <is>
          <t>upi</t>
        </is>
      </c>
      <c r="I714" t="n">
        <v>0</v>
      </c>
      <c r="J714" t="n">
        <v>0</v>
      </c>
      <c r="L714" t="n">
        <v>1</v>
      </c>
      <c r="R714" t="inlineStr">
        <is>
          <t>customer250@example.com</t>
        </is>
      </c>
      <c r="S714">
        <f>+919890723030</f>
        <v/>
      </c>
      <c r="T714" t="inlineStr">
        <is>
          <t>[]</t>
        </is>
      </c>
      <c r="U714" t="n">
        <v>29.98</v>
      </c>
      <c r="V714" t="n">
        <v>5.4</v>
      </c>
      <c r="Y714" s="1" t="n">
        <v>46172.22912037037</v>
      </c>
    </row>
    <row r="715">
      <c r="A715" t="inlineStr">
        <is>
          <t>pay_V8jarmDbHppxOI</t>
        </is>
      </c>
      <c r="B715" t="n">
        <v>999</v>
      </c>
      <c r="C715" t="inlineStr">
        <is>
          <t>INR</t>
        </is>
      </c>
      <c r="D715" t="inlineStr">
        <is>
          <t>failed</t>
        </is>
      </c>
      <c r="E715" t="inlineStr">
        <is>
          <t>order_QZhaH8OYRU9ge0</t>
        </is>
      </c>
      <c r="G715" t="n">
        <v>0</v>
      </c>
      <c r="H715" t="inlineStr">
        <is>
          <t>card</t>
        </is>
      </c>
      <c r="I715" t="n">
        <v>0</v>
      </c>
      <c r="J715" t="n">
        <v>0</v>
      </c>
      <c r="L715" t="n">
        <v>0</v>
      </c>
      <c r="R715" t="inlineStr">
        <is>
          <t>customer678@example.com</t>
        </is>
      </c>
      <c r="S715">
        <f>+919834279961</f>
        <v/>
      </c>
      <c r="T715" t="inlineStr">
        <is>
          <t>[]</t>
        </is>
      </c>
      <c r="W715" t="inlineStr">
        <is>
          <t>BAD_REQUEST_ERROR</t>
        </is>
      </c>
      <c r="X715" t="inlineStr">
        <is>
          <t>Card declined by bank</t>
        </is>
      </c>
      <c r="Y715" s="1" t="n">
        <v>46147.3084375</v>
      </c>
    </row>
    <row r="716">
      <c r="A716" t="inlineStr">
        <is>
          <t>pay_vofs4KTNSmlQuo</t>
        </is>
      </c>
      <c r="B716" t="n">
        <v>999</v>
      </c>
      <c r="C716" t="inlineStr">
        <is>
          <t>INR</t>
        </is>
      </c>
      <c r="D716" t="inlineStr">
        <is>
          <t>captured</t>
        </is>
      </c>
      <c r="E716" t="inlineStr">
        <is>
          <t>order_QZhaH8OYRU9ge0</t>
        </is>
      </c>
      <c r="G716" t="n">
        <v>0</v>
      </c>
      <c r="H716" t="inlineStr">
        <is>
          <t>netbanking</t>
        </is>
      </c>
      <c r="I716" t="n">
        <v>0</v>
      </c>
      <c r="J716" t="n">
        <v>0</v>
      </c>
      <c r="L716" t="n">
        <v>1</v>
      </c>
      <c r="R716" t="inlineStr">
        <is>
          <t>customer667@example.com</t>
        </is>
      </c>
      <c r="S716">
        <f>+919858643891</f>
        <v/>
      </c>
      <c r="T716" t="inlineStr">
        <is>
          <t>[]</t>
        </is>
      </c>
      <c r="U716" t="n">
        <v>19.98</v>
      </c>
      <c r="V716" t="n">
        <v>3.6</v>
      </c>
      <c r="Y716" s="1" t="n">
        <v>46147.30869212963</v>
      </c>
    </row>
    <row r="717">
      <c r="A717" t="inlineStr">
        <is>
          <t>pay_FowoqXOXMpNsAy</t>
        </is>
      </c>
      <c r="B717" t="n">
        <v>2499</v>
      </c>
      <c r="C717" t="inlineStr">
        <is>
          <t>INR</t>
        </is>
      </c>
      <c r="D717" t="inlineStr">
        <is>
          <t>captured</t>
        </is>
      </c>
      <c r="E717" t="inlineStr">
        <is>
          <t>order_djU8KYEj4DGXU0</t>
        </is>
      </c>
      <c r="G717" t="n">
        <v>0</v>
      </c>
      <c r="H717" t="inlineStr">
        <is>
          <t>upi</t>
        </is>
      </c>
      <c r="I717" t="n">
        <v>0</v>
      </c>
      <c r="J717" t="n">
        <v>0</v>
      </c>
      <c r="L717" t="n">
        <v>1</v>
      </c>
      <c r="R717" t="inlineStr">
        <is>
          <t>customer738@example.com</t>
        </is>
      </c>
      <c r="S717">
        <f>+919856417595</f>
        <v/>
      </c>
      <c r="T717" t="inlineStr">
        <is>
          <t>[]</t>
        </is>
      </c>
      <c r="U717" t="n">
        <v>49.98</v>
      </c>
      <c r="V717" t="n">
        <v>9</v>
      </c>
      <c r="Y717" s="1" t="n">
        <v>46161.08993055556</v>
      </c>
    </row>
    <row r="718">
      <c r="A718" t="inlineStr">
        <is>
          <t>pay_dVUZhj7DPT6n7r</t>
        </is>
      </c>
      <c r="B718" t="n">
        <v>1799</v>
      </c>
      <c r="C718" t="inlineStr">
        <is>
          <t>INR</t>
        </is>
      </c>
      <c r="D718" t="inlineStr">
        <is>
          <t>captured</t>
        </is>
      </c>
      <c r="E718" t="inlineStr">
        <is>
          <t>order_5RjEjSIIJnwlON</t>
        </is>
      </c>
      <c r="G718" t="n">
        <v>0</v>
      </c>
      <c r="H718" t="inlineStr">
        <is>
          <t>netbanking</t>
        </is>
      </c>
      <c r="I718" t="n">
        <v>0</v>
      </c>
      <c r="J718" t="n">
        <v>0</v>
      </c>
      <c r="L718" t="n">
        <v>1</v>
      </c>
      <c r="R718" t="inlineStr">
        <is>
          <t>customer814@example.com</t>
        </is>
      </c>
      <c r="S718">
        <f>+919899915875</f>
        <v/>
      </c>
      <c r="T718" t="inlineStr">
        <is>
          <t>[]</t>
        </is>
      </c>
      <c r="U718" t="n">
        <v>35.98</v>
      </c>
      <c r="V718" t="n">
        <v>6.48</v>
      </c>
      <c r="Y718" s="1" t="n">
        <v>46145.85695601852</v>
      </c>
    </row>
    <row r="719">
      <c r="A719" t="inlineStr">
        <is>
          <t>pay_nez3YAFtWhnL6a</t>
        </is>
      </c>
      <c r="B719" t="n">
        <v>999</v>
      </c>
      <c r="C719" t="inlineStr">
        <is>
          <t>INR</t>
        </is>
      </c>
      <c r="D719" t="inlineStr">
        <is>
          <t>failed</t>
        </is>
      </c>
      <c r="E719" t="inlineStr">
        <is>
          <t>order_WbP6AUENovBfms</t>
        </is>
      </c>
      <c r="G719" t="n">
        <v>0</v>
      </c>
      <c r="H719" t="inlineStr">
        <is>
          <t>upi</t>
        </is>
      </c>
      <c r="I719" t="n">
        <v>0</v>
      </c>
      <c r="J719" t="n">
        <v>0</v>
      </c>
      <c r="L719" t="n">
        <v>0</v>
      </c>
      <c r="R719" t="inlineStr">
        <is>
          <t>customer86@example.com</t>
        </is>
      </c>
      <c r="S719">
        <f>+919876684915</f>
        <v/>
      </c>
      <c r="T719" t="inlineStr">
        <is>
          <t>[]</t>
        </is>
      </c>
      <c r="W719" t="inlineStr">
        <is>
          <t>BAD_REQUEST_ERROR</t>
        </is>
      </c>
      <c r="X719" t="inlineStr">
        <is>
          <t>Payment was not completed on time</t>
        </is>
      </c>
      <c r="Y719" s="1" t="n">
        <v>46145.55193287037</v>
      </c>
    </row>
    <row r="720">
      <c r="A720" t="inlineStr">
        <is>
          <t>pay_V9Cv4xfYAYjxM6</t>
        </is>
      </c>
      <c r="B720" t="n">
        <v>999</v>
      </c>
      <c r="C720" t="inlineStr">
        <is>
          <t>INR</t>
        </is>
      </c>
      <c r="D720" t="inlineStr">
        <is>
          <t>captured</t>
        </is>
      </c>
      <c r="E720" t="inlineStr">
        <is>
          <t>order_WbP6AUENovBfms</t>
        </is>
      </c>
      <c r="G720" t="n">
        <v>0</v>
      </c>
      <c r="H720" t="inlineStr">
        <is>
          <t>upi</t>
        </is>
      </c>
      <c r="I720" t="n">
        <v>0</v>
      </c>
      <c r="J720" t="n">
        <v>0</v>
      </c>
      <c r="L720" t="n">
        <v>1</v>
      </c>
      <c r="R720" t="inlineStr">
        <is>
          <t>customer836@example.com</t>
        </is>
      </c>
      <c r="S720">
        <f>+919849938093</f>
        <v/>
      </c>
      <c r="T720" t="inlineStr">
        <is>
          <t>[]</t>
        </is>
      </c>
      <c r="U720" t="n">
        <v>19.98</v>
      </c>
      <c r="V720" t="n">
        <v>3.6</v>
      </c>
      <c r="Y720" s="1" t="n">
        <v>46145.55405092592</v>
      </c>
    </row>
    <row r="721">
      <c r="A721" t="inlineStr">
        <is>
          <t>pay_dbg8XVUskjsjcs</t>
        </is>
      </c>
      <c r="B721" t="n">
        <v>499</v>
      </c>
      <c r="C721" t="inlineStr">
        <is>
          <t>INR</t>
        </is>
      </c>
      <c r="D721" t="inlineStr">
        <is>
          <t>captured</t>
        </is>
      </c>
      <c r="E721" t="inlineStr">
        <is>
          <t>order_lXzqOmgg1f341b</t>
        </is>
      </c>
      <c r="G721" t="n">
        <v>0</v>
      </c>
      <c r="H721" t="inlineStr">
        <is>
          <t>card</t>
        </is>
      </c>
      <c r="I721" t="n">
        <v>0</v>
      </c>
      <c r="J721" t="n">
        <v>0</v>
      </c>
      <c r="L721" t="n">
        <v>1</v>
      </c>
      <c r="R721" t="inlineStr">
        <is>
          <t>customer787@example.com</t>
        </is>
      </c>
      <c r="S721">
        <f>+919827655372</f>
        <v/>
      </c>
      <c r="T721" t="inlineStr">
        <is>
          <t>[]</t>
        </is>
      </c>
      <c r="U721" t="n">
        <v>9.98</v>
      </c>
      <c r="V721" t="n">
        <v>1.8</v>
      </c>
      <c r="Y721" s="1" t="n">
        <v>46160.81947916667</v>
      </c>
    </row>
    <row r="722">
      <c r="A722" t="inlineStr">
        <is>
          <t>pay_cVcnJCdkRNzxy8</t>
        </is>
      </c>
      <c r="B722" t="n">
        <v>1799</v>
      </c>
      <c r="C722" t="inlineStr">
        <is>
          <t>INR</t>
        </is>
      </c>
      <c r="D722" t="inlineStr">
        <is>
          <t>captured</t>
        </is>
      </c>
      <c r="E722" t="inlineStr">
        <is>
          <t>order_uRLyHJjcw7eXg9</t>
        </is>
      </c>
      <c r="G722" t="n">
        <v>0</v>
      </c>
      <c r="H722" t="inlineStr">
        <is>
          <t>upi</t>
        </is>
      </c>
      <c r="I722" t="n">
        <v>0</v>
      </c>
      <c r="J722" t="n">
        <v>0</v>
      </c>
      <c r="L722" t="n">
        <v>1</v>
      </c>
      <c r="R722" t="inlineStr">
        <is>
          <t>customer562@example.com</t>
        </is>
      </c>
      <c r="S722">
        <f>+919836340612</f>
        <v/>
      </c>
      <c r="T722" t="inlineStr">
        <is>
          <t>[]</t>
        </is>
      </c>
      <c r="U722" t="n">
        <v>35.98</v>
      </c>
      <c r="V722" t="n">
        <v>6.48</v>
      </c>
      <c r="Y722" s="1" t="n">
        <v>46173.23070601852</v>
      </c>
    </row>
    <row r="723">
      <c r="A723" t="inlineStr">
        <is>
          <t>pay_txx8PBCjhWWD0N</t>
        </is>
      </c>
      <c r="B723" t="n">
        <v>3999</v>
      </c>
      <c r="C723" t="inlineStr">
        <is>
          <t>INR</t>
        </is>
      </c>
      <c r="D723" t="inlineStr">
        <is>
          <t>captured</t>
        </is>
      </c>
      <c r="E723" t="inlineStr">
        <is>
          <t>order_PSYxiCpMqsPhYM</t>
        </is>
      </c>
      <c r="G723" t="n">
        <v>0</v>
      </c>
      <c r="H723" t="inlineStr">
        <is>
          <t>upi</t>
        </is>
      </c>
      <c r="I723" t="n">
        <v>0</v>
      </c>
      <c r="J723" t="n">
        <v>0</v>
      </c>
      <c r="L723" t="n">
        <v>1</v>
      </c>
      <c r="R723" t="inlineStr">
        <is>
          <t>customer819@example.com</t>
        </is>
      </c>
      <c r="S723">
        <f>+919844707918</f>
        <v/>
      </c>
      <c r="T723" t="inlineStr">
        <is>
          <t>[]</t>
        </is>
      </c>
      <c r="U723" t="n">
        <v>79.98</v>
      </c>
      <c r="V723" t="n">
        <v>14.4</v>
      </c>
      <c r="Y723" s="1" t="n">
        <v>46158.04391203704</v>
      </c>
    </row>
    <row r="724">
      <c r="A724" t="inlineStr">
        <is>
          <t>pay_ZkxePJkD49oWKX</t>
        </is>
      </c>
      <c r="B724" t="n">
        <v>999</v>
      </c>
      <c r="C724" t="inlineStr">
        <is>
          <t>INR</t>
        </is>
      </c>
      <c r="D724" t="inlineStr">
        <is>
          <t>failed</t>
        </is>
      </c>
      <c r="E724" t="inlineStr">
        <is>
          <t>order_UYNM0bH0yNRVz9</t>
        </is>
      </c>
      <c r="G724" t="n">
        <v>0</v>
      </c>
      <c r="H724" t="inlineStr">
        <is>
          <t>card</t>
        </is>
      </c>
      <c r="I724" t="n">
        <v>0</v>
      </c>
      <c r="J724" t="n">
        <v>0</v>
      </c>
      <c r="L724" t="n">
        <v>0</v>
      </c>
      <c r="R724" t="inlineStr">
        <is>
          <t>customer380@example.com</t>
        </is>
      </c>
      <c r="S724">
        <f>+919851677059</f>
        <v/>
      </c>
      <c r="T724" t="inlineStr">
        <is>
          <t>[]</t>
        </is>
      </c>
      <c r="W724" t="inlineStr">
        <is>
          <t>BAD_REQUEST_ERROR</t>
        </is>
      </c>
      <c r="X724" t="inlineStr">
        <is>
          <t>Payment cancelled by user</t>
        </is>
      </c>
      <c r="Y724" s="1" t="n">
        <v>46165.64135416667</v>
      </c>
    </row>
    <row r="725">
      <c r="A725" t="inlineStr">
        <is>
          <t>pay_9uCYH3zVA7mkWP</t>
        </is>
      </c>
      <c r="B725" t="n">
        <v>999</v>
      </c>
      <c r="C725" t="inlineStr">
        <is>
          <t>INR</t>
        </is>
      </c>
      <c r="D725" t="inlineStr">
        <is>
          <t>failed</t>
        </is>
      </c>
      <c r="E725" t="inlineStr">
        <is>
          <t>order_UYNM0bH0yNRVz9</t>
        </is>
      </c>
      <c r="G725" t="n">
        <v>0</v>
      </c>
      <c r="H725" t="inlineStr">
        <is>
          <t>card</t>
        </is>
      </c>
      <c r="I725" t="n">
        <v>0</v>
      </c>
      <c r="J725" t="n">
        <v>0</v>
      </c>
      <c r="L725" t="n">
        <v>0</v>
      </c>
      <c r="R725" t="inlineStr">
        <is>
          <t>customer866@example.com</t>
        </is>
      </c>
      <c r="S725">
        <f>+919850743004</f>
        <v/>
      </c>
      <c r="T725" t="inlineStr">
        <is>
          <t>[]</t>
        </is>
      </c>
      <c r="W725" t="inlineStr">
        <is>
          <t>BAD_REQUEST_ERROR</t>
        </is>
      </c>
      <c r="X725" t="inlineStr">
        <is>
          <t>Payment cancelled by user</t>
        </is>
      </c>
      <c r="Y725" s="1" t="n">
        <v>46165.64230324074</v>
      </c>
    </row>
    <row r="726">
      <c r="A726" t="inlineStr">
        <is>
          <t>pay_FmYnqGocUUxk5m</t>
        </is>
      </c>
      <c r="B726" t="n">
        <v>999</v>
      </c>
      <c r="C726" t="inlineStr">
        <is>
          <t>INR</t>
        </is>
      </c>
      <c r="D726" t="inlineStr">
        <is>
          <t>captured</t>
        </is>
      </c>
      <c r="E726" t="inlineStr">
        <is>
          <t>order_UYNM0bH0yNRVz9</t>
        </is>
      </c>
      <c r="G726" t="n">
        <v>0</v>
      </c>
      <c r="H726" t="inlineStr">
        <is>
          <t>card</t>
        </is>
      </c>
      <c r="I726" t="n">
        <v>0</v>
      </c>
      <c r="J726" t="n">
        <v>0</v>
      </c>
      <c r="L726" t="n">
        <v>1</v>
      </c>
      <c r="R726" t="inlineStr">
        <is>
          <t>customer762@example.com</t>
        </is>
      </c>
      <c r="S726">
        <f>+919860191096</f>
        <v/>
      </c>
      <c r="T726" t="inlineStr">
        <is>
          <t>[]</t>
        </is>
      </c>
      <c r="U726" t="n">
        <v>19.98</v>
      </c>
      <c r="V726" t="n">
        <v>3.6</v>
      </c>
      <c r="Y726" s="1" t="n">
        <v>46165.64396990741</v>
      </c>
    </row>
    <row r="727">
      <c r="A727" t="inlineStr">
        <is>
          <t>pay_XqcY2QlQysmgcr</t>
        </is>
      </c>
      <c r="B727" t="n">
        <v>2499</v>
      </c>
      <c r="C727" t="inlineStr">
        <is>
          <t>INR</t>
        </is>
      </c>
      <c r="D727" t="inlineStr">
        <is>
          <t>captured</t>
        </is>
      </c>
      <c r="E727" t="inlineStr">
        <is>
          <t>order_eEQORHcXUpk0wG</t>
        </is>
      </c>
      <c r="G727" t="n">
        <v>0</v>
      </c>
      <c r="H727" t="inlineStr">
        <is>
          <t>upi</t>
        </is>
      </c>
      <c r="I727" t="n">
        <v>0</v>
      </c>
      <c r="J727" t="n">
        <v>0</v>
      </c>
      <c r="L727" t="n">
        <v>1</v>
      </c>
      <c r="R727" t="inlineStr">
        <is>
          <t>customer384@example.com</t>
        </is>
      </c>
      <c r="S727">
        <f>+919870308738</f>
        <v/>
      </c>
      <c r="T727" t="inlineStr">
        <is>
          <t>[]</t>
        </is>
      </c>
      <c r="U727" t="n">
        <v>49.98</v>
      </c>
      <c r="V727" t="n">
        <v>9</v>
      </c>
      <c r="Y727" s="1" t="n">
        <v>46152.3788425926</v>
      </c>
    </row>
    <row r="728">
      <c r="A728" t="inlineStr">
        <is>
          <t>pay_6PVb0H6uqjENbc</t>
        </is>
      </c>
      <c r="B728" t="n">
        <v>3999</v>
      </c>
      <c r="C728" t="inlineStr">
        <is>
          <t>INR</t>
        </is>
      </c>
      <c r="D728" t="inlineStr">
        <is>
          <t>captured</t>
        </is>
      </c>
      <c r="E728" t="inlineStr">
        <is>
          <t>order_zCrWOSWUMuGJQf</t>
        </is>
      </c>
      <c r="G728" t="n">
        <v>0</v>
      </c>
      <c r="H728" t="inlineStr">
        <is>
          <t>card</t>
        </is>
      </c>
      <c r="I728" t="n">
        <v>0</v>
      </c>
      <c r="J728" t="n">
        <v>0</v>
      </c>
      <c r="L728" t="n">
        <v>1</v>
      </c>
      <c r="R728" t="inlineStr">
        <is>
          <t>customer184@example.com</t>
        </is>
      </c>
      <c r="S728">
        <f>+919896909467</f>
        <v/>
      </c>
      <c r="T728" t="inlineStr">
        <is>
          <t>[]</t>
        </is>
      </c>
      <c r="U728" t="n">
        <v>79.98</v>
      </c>
      <c r="V728" t="n">
        <v>14.4</v>
      </c>
      <c r="Y728" s="1" t="n">
        <v>46155.25784722222</v>
      </c>
    </row>
    <row r="729">
      <c r="A729" t="inlineStr">
        <is>
          <t>pay_fVJ0g081no5EPD</t>
        </is>
      </c>
      <c r="B729" t="n">
        <v>999</v>
      </c>
      <c r="C729" t="inlineStr">
        <is>
          <t>INR</t>
        </is>
      </c>
      <c r="D729" t="inlineStr">
        <is>
          <t>failed</t>
        </is>
      </c>
      <c r="E729" t="inlineStr">
        <is>
          <t>order_Clv7JT0aQh1A2o</t>
        </is>
      </c>
      <c r="G729" t="n">
        <v>0</v>
      </c>
      <c r="H729" t="inlineStr">
        <is>
          <t>card</t>
        </is>
      </c>
      <c r="I729" t="n">
        <v>0</v>
      </c>
      <c r="J729" t="n">
        <v>0</v>
      </c>
      <c r="L729" t="n">
        <v>0</v>
      </c>
      <c r="R729" t="inlineStr">
        <is>
          <t>customer467@example.com</t>
        </is>
      </c>
      <c r="S729">
        <f>+919841600671</f>
        <v/>
      </c>
      <c r="T729" t="inlineStr">
        <is>
          <t>[]</t>
        </is>
      </c>
      <c r="W729" t="inlineStr">
        <is>
          <t>BAD_REQUEST_ERROR</t>
        </is>
      </c>
      <c r="X729" t="inlineStr">
        <is>
          <t>Payment failed due to incorrect OTP</t>
        </is>
      </c>
      <c r="Y729" s="1" t="n">
        <v>46162.46770833333</v>
      </c>
    </row>
    <row r="730">
      <c r="A730" t="inlineStr">
        <is>
          <t>pay_ekCrwM50Ym7Vth</t>
        </is>
      </c>
      <c r="B730" t="n">
        <v>2499</v>
      </c>
      <c r="C730" t="inlineStr">
        <is>
          <t>INR</t>
        </is>
      </c>
      <c r="D730" t="inlineStr">
        <is>
          <t>failed</t>
        </is>
      </c>
      <c r="E730" t="inlineStr">
        <is>
          <t>order_whIqQob5eCYVF8</t>
        </is>
      </c>
      <c r="G730" t="n">
        <v>0</v>
      </c>
      <c r="H730" t="inlineStr">
        <is>
          <t>card</t>
        </is>
      </c>
      <c r="I730" t="n">
        <v>0</v>
      </c>
      <c r="J730" t="n">
        <v>0</v>
      </c>
      <c r="L730" t="n">
        <v>0</v>
      </c>
      <c r="R730" t="inlineStr">
        <is>
          <t>customer623@example.com</t>
        </is>
      </c>
      <c r="S730">
        <f>+919882982650</f>
        <v/>
      </c>
      <c r="T730" t="inlineStr">
        <is>
          <t>[]</t>
        </is>
      </c>
      <c r="W730" t="inlineStr">
        <is>
          <t>BAD_REQUEST_ERROR</t>
        </is>
      </c>
      <c r="X730" t="inlineStr">
        <is>
          <t>Payment failed due to incorrect OTP</t>
        </is>
      </c>
      <c r="Y730" s="1" t="n">
        <v>46147.15797453704</v>
      </c>
    </row>
    <row r="731">
      <c r="A731" t="inlineStr">
        <is>
          <t>pay_JkkegMPlgD551P</t>
        </is>
      </c>
      <c r="B731" t="n">
        <v>2499</v>
      </c>
      <c r="C731" t="inlineStr">
        <is>
          <t>INR</t>
        </is>
      </c>
      <c r="D731" t="inlineStr">
        <is>
          <t>captured</t>
        </is>
      </c>
      <c r="E731" t="inlineStr">
        <is>
          <t>order_VZP9ZrEJekDkNK</t>
        </is>
      </c>
      <c r="G731" t="n">
        <v>0</v>
      </c>
      <c r="H731" t="inlineStr">
        <is>
          <t>upi</t>
        </is>
      </c>
      <c r="I731" t="n">
        <v>0</v>
      </c>
      <c r="J731" t="n">
        <v>0</v>
      </c>
      <c r="L731" t="n">
        <v>1</v>
      </c>
      <c r="R731" t="inlineStr">
        <is>
          <t>customer757@example.com</t>
        </is>
      </c>
      <c r="S731">
        <f>+919811149548</f>
        <v/>
      </c>
      <c r="T731" t="inlineStr">
        <is>
          <t>[]</t>
        </is>
      </c>
      <c r="U731" t="n">
        <v>49.98</v>
      </c>
      <c r="V731" t="n">
        <v>9</v>
      </c>
      <c r="Y731" s="1" t="n">
        <v>46165.1766087963</v>
      </c>
    </row>
    <row r="732">
      <c r="A732" t="inlineStr">
        <is>
          <t>pay_qS3oilcYhozeNm</t>
        </is>
      </c>
      <c r="B732" t="n">
        <v>1499</v>
      </c>
      <c r="C732" t="inlineStr">
        <is>
          <t>INR</t>
        </is>
      </c>
      <c r="D732" t="inlineStr">
        <is>
          <t>captured</t>
        </is>
      </c>
      <c r="E732" t="inlineStr">
        <is>
          <t>order_D9rhDf39f7eXrn</t>
        </is>
      </c>
      <c r="G732" t="n">
        <v>0</v>
      </c>
      <c r="H732" t="inlineStr">
        <is>
          <t>card</t>
        </is>
      </c>
      <c r="I732" t="n">
        <v>0</v>
      </c>
      <c r="J732" t="n">
        <v>0</v>
      </c>
      <c r="L732" t="n">
        <v>1</v>
      </c>
      <c r="R732" t="inlineStr">
        <is>
          <t>customer22@example.com</t>
        </is>
      </c>
      <c r="S732">
        <f>+919892859935</f>
        <v/>
      </c>
      <c r="T732" t="inlineStr">
        <is>
          <t>[]</t>
        </is>
      </c>
      <c r="U732" t="n">
        <v>29.98</v>
      </c>
      <c r="V732" t="n">
        <v>5.4</v>
      </c>
      <c r="Y732" s="1" t="n">
        <v>46167.89537037037</v>
      </c>
    </row>
    <row r="733">
      <c r="A733" t="inlineStr">
        <is>
          <t>pay_pTO8eh5RhvUFCY</t>
        </is>
      </c>
      <c r="B733" t="n">
        <v>1499</v>
      </c>
      <c r="C733" t="inlineStr">
        <is>
          <t>INR</t>
        </is>
      </c>
      <c r="D733" t="inlineStr">
        <is>
          <t>captured</t>
        </is>
      </c>
      <c r="E733" t="inlineStr">
        <is>
          <t>order_dPzn9BQ96cfbLo</t>
        </is>
      </c>
      <c r="G733" t="n">
        <v>0</v>
      </c>
      <c r="H733" t="inlineStr">
        <is>
          <t>upi</t>
        </is>
      </c>
      <c r="I733" t="n">
        <v>0</v>
      </c>
      <c r="J733" t="n">
        <v>0</v>
      </c>
      <c r="L733" t="n">
        <v>1</v>
      </c>
      <c r="R733" t="inlineStr">
        <is>
          <t>customer361@example.com</t>
        </is>
      </c>
      <c r="S733">
        <f>+919882188070</f>
        <v/>
      </c>
      <c r="T733" t="inlineStr">
        <is>
          <t>[]</t>
        </is>
      </c>
      <c r="U733" t="n">
        <v>29.98</v>
      </c>
      <c r="V733" t="n">
        <v>5.4</v>
      </c>
      <c r="Y733" s="1" t="n">
        <v>46155.49674768518</v>
      </c>
    </row>
    <row r="734">
      <c r="A734" t="inlineStr">
        <is>
          <t>pay_bG9V43REWVmyuB</t>
        </is>
      </c>
      <c r="B734" t="n">
        <v>1799</v>
      </c>
      <c r="C734" t="inlineStr">
        <is>
          <t>INR</t>
        </is>
      </c>
      <c r="D734" t="inlineStr">
        <is>
          <t>failed</t>
        </is>
      </c>
      <c r="E734" t="inlineStr">
        <is>
          <t>order_GDcbYN8lVvMvd2</t>
        </is>
      </c>
      <c r="G734" t="n">
        <v>0</v>
      </c>
      <c r="H734" t="inlineStr">
        <is>
          <t>upi</t>
        </is>
      </c>
      <c r="I734" t="n">
        <v>0</v>
      </c>
      <c r="J734" t="n">
        <v>0</v>
      </c>
      <c r="L734" t="n">
        <v>0</v>
      </c>
      <c r="R734" t="inlineStr">
        <is>
          <t>customer856@example.com</t>
        </is>
      </c>
      <c r="S734">
        <f>+919851065743</f>
        <v/>
      </c>
      <c r="T734" t="inlineStr">
        <is>
          <t>[]</t>
        </is>
      </c>
      <c r="W734" t="inlineStr">
        <is>
          <t>BAD_REQUEST_ERROR</t>
        </is>
      </c>
      <c r="X734" t="inlineStr">
        <is>
          <t>Payment was not completed on time</t>
        </is>
      </c>
      <c r="Y734" s="1" t="n">
        <v>46146.96582175926</v>
      </c>
    </row>
    <row r="735">
      <c r="A735" t="inlineStr">
        <is>
          <t>pay_s8yQJl2NKrGNds</t>
        </is>
      </c>
      <c r="B735" t="n">
        <v>1799</v>
      </c>
      <c r="C735" t="inlineStr">
        <is>
          <t>INR</t>
        </is>
      </c>
      <c r="D735" t="inlineStr">
        <is>
          <t>captured</t>
        </is>
      </c>
      <c r="E735" t="inlineStr">
        <is>
          <t>order_GDcbYN8lVvMvd2</t>
        </is>
      </c>
      <c r="G735" t="n">
        <v>0</v>
      </c>
      <c r="H735" t="inlineStr">
        <is>
          <t>upi</t>
        </is>
      </c>
      <c r="I735" t="n">
        <v>0</v>
      </c>
      <c r="J735" t="n">
        <v>0</v>
      </c>
      <c r="L735" t="n">
        <v>1</v>
      </c>
      <c r="R735" t="inlineStr">
        <is>
          <t>customer43@example.com</t>
        </is>
      </c>
      <c r="S735">
        <f>+919889022512</f>
        <v/>
      </c>
      <c r="T735" t="inlineStr">
        <is>
          <t>[]</t>
        </is>
      </c>
      <c r="U735" t="n">
        <v>35.98</v>
      </c>
      <c r="V735" t="n">
        <v>6.48</v>
      </c>
      <c r="Y735" s="1" t="n">
        <v>46146.96766203704</v>
      </c>
    </row>
    <row r="736">
      <c r="A736" t="inlineStr">
        <is>
          <t>pay_6KdcZUJbfDfLcV</t>
        </is>
      </c>
      <c r="B736" t="n">
        <v>1499</v>
      </c>
      <c r="C736" t="inlineStr">
        <is>
          <t>INR</t>
        </is>
      </c>
      <c r="D736" t="inlineStr">
        <is>
          <t>captured</t>
        </is>
      </c>
      <c r="E736" t="inlineStr">
        <is>
          <t>order_TSSGQ5BiB8OJ4Q</t>
        </is>
      </c>
      <c r="G736" t="n">
        <v>0</v>
      </c>
      <c r="H736" t="inlineStr">
        <is>
          <t>card</t>
        </is>
      </c>
      <c r="I736" t="n">
        <v>0</v>
      </c>
      <c r="J736" t="n">
        <v>0</v>
      </c>
      <c r="L736" t="n">
        <v>1</v>
      </c>
      <c r="R736" t="inlineStr">
        <is>
          <t>customer413@example.com</t>
        </is>
      </c>
      <c r="S736">
        <f>+919878817414</f>
        <v/>
      </c>
      <c r="T736" t="inlineStr">
        <is>
          <t>[]</t>
        </is>
      </c>
      <c r="U736" t="n">
        <v>29.98</v>
      </c>
      <c r="V736" t="n">
        <v>5.4</v>
      </c>
      <c r="Y736" s="1" t="n">
        <v>46165.10387731482</v>
      </c>
    </row>
    <row r="737">
      <c r="A737" t="inlineStr">
        <is>
          <t>pay_5XGqjsD5Y9EKXt</t>
        </is>
      </c>
      <c r="B737" t="n">
        <v>999</v>
      </c>
      <c r="C737" t="inlineStr">
        <is>
          <t>INR</t>
        </is>
      </c>
      <c r="D737" t="inlineStr">
        <is>
          <t>captured</t>
        </is>
      </c>
      <c r="E737" t="inlineStr">
        <is>
          <t>order_qFIlSWoUfxuHK9</t>
        </is>
      </c>
      <c r="G737" t="n">
        <v>0</v>
      </c>
      <c r="H737" t="inlineStr">
        <is>
          <t>card</t>
        </is>
      </c>
      <c r="I737" t="n">
        <v>0</v>
      </c>
      <c r="J737" t="n">
        <v>0</v>
      </c>
      <c r="L737" t="n">
        <v>1</v>
      </c>
      <c r="R737" t="inlineStr">
        <is>
          <t>customer150@example.com</t>
        </is>
      </c>
      <c r="S737">
        <f>+919851270278</f>
        <v/>
      </c>
      <c r="T737" t="inlineStr">
        <is>
          <t>[]</t>
        </is>
      </c>
      <c r="U737" t="n">
        <v>19.98</v>
      </c>
      <c r="V737" t="n">
        <v>3.6</v>
      </c>
      <c r="Y737" s="1" t="n">
        <v>46150.74238425926</v>
      </c>
    </row>
    <row r="738">
      <c r="A738" t="inlineStr">
        <is>
          <t>pay_hstbsfRflV4BPj</t>
        </is>
      </c>
      <c r="B738" t="n">
        <v>1799</v>
      </c>
      <c r="C738" t="inlineStr">
        <is>
          <t>INR</t>
        </is>
      </c>
      <c r="D738" t="inlineStr">
        <is>
          <t>failed</t>
        </is>
      </c>
      <c r="E738" t="inlineStr">
        <is>
          <t>order_3s1g7f9Z37PWHV</t>
        </is>
      </c>
      <c r="G738" t="n">
        <v>0</v>
      </c>
      <c r="H738" t="inlineStr">
        <is>
          <t>netbanking</t>
        </is>
      </c>
      <c r="I738" t="n">
        <v>0</v>
      </c>
      <c r="J738" t="n">
        <v>0</v>
      </c>
      <c r="L738" t="n">
        <v>0</v>
      </c>
      <c r="R738" t="inlineStr">
        <is>
          <t>customer333@example.com</t>
        </is>
      </c>
      <c r="S738">
        <f>+919894153769</f>
        <v/>
      </c>
      <c r="T738" t="inlineStr">
        <is>
          <t>[]</t>
        </is>
      </c>
      <c r="W738" t="inlineStr">
        <is>
          <t>BAD_REQUEST_ERROR</t>
        </is>
      </c>
      <c r="X738" t="inlineStr">
        <is>
          <t>Payment cancelled by user</t>
        </is>
      </c>
      <c r="Y738" s="1" t="n">
        <v>46173.23883101852</v>
      </c>
    </row>
    <row r="739">
      <c r="A739" t="inlineStr">
        <is>
          <t>pay_eHTQ9AnZJbHryy</t>
        </is>
      </c>
      <c r="B739" t="n">
        <v>1799</v>
      </c>
      <c r="C739" t="inlineStr">
        <is>
          <t>INR</t>
        </is>
      </c>
      <c r="D739" t="inlineStr">
        <is>
          <t>captured</t>
        </is>
      </c>
      <c r="E739" t="inlineStr">
        <is>
          <t>order_UqUnBtAe5bRtkB</t>
        </is>
      </c>
      <c r="G739" t="n">
        <v>0</v>
      </c>
      <c r="H739" t="inlineStr">
        <is>
          <t>netbanking</t>
        </is>
      </c>
      <c r="I739" t="n">
        <v>0</v>
      </c>
      <c r="J739" t="n">
        <v>0</v>
      </c>
      <c r="L739" t="n">
        <v>1</v>
      </c>
      <c r="R739" t="inlineStr">
        <is>
          <t>customer627@example.com</t>
        </is>
      </c>
      <c r="S739">
        <f>+919871934768</f>
        <v/>
      </c>
      <c r="T739" t="inlineStr">
        <is>
          <t>[]</t>
        </is>
      </c>
      <c r="U739" t="n">
        <v>35.98</v>
      </c>
      <c r="V739" t="n">
        <v>6.48</v>
      </c>
      <c r="Y739" s="1" t="n">
        <v>46163.34979166667</v>
      </c>
    </row>
    <row r="740">
      <c r="A740" t="inlineStr">
        <is>
          <t>pay_7vHcsrlLadeKxY</t>
        </is>
      </c>
      <c r="B740" t="n">
        <v>1799</v>
      </c>
      <c r="C740" t="inlineStr">
        <is>
          <t>INR</t>
        </is>
      </c>
      <c r="D740" t="inlineStr">
        <is>
          <t>failed</t>
        </is>
      </c>
      <c r="E740" t="inlineStr">
        <is>
          <t>order_YJJT1OPbl5lB29</t>
        </is>
      </c>
      <c r="G740" t="n">
        <v>0</v>
      </c>
      <c r="H740" t="inlineStr">
        <is>
          <t>card</t>
        </is>
      </c>
      <c r="I740" t="n">
        <v>0</v>
      </c>
      <c r="J740" t="n">
        <v>0</v>
      </c>
      <c r="L740" t="n">
        <v>0</v>
      </c>
      <c r="R740" t="inlineStr">
        <is>
          <t>customer741@example.com</t>
        </is>
      </c>
      <c r="S740">
        <f>+919834601581</f>
        <v/>
      </c>
      <c r="T740" t="inlineStr">
        <is>
          <t>[]</t>
        </is>
      </c>
      <c r="W740" t="inlineStr">
        <is>
          <t>BAD_REQUEST_ERROR</t>
        </is>
      </c>
      <c r="X740" t="inlineStr">
        <is>
          <t>Payment failed due to incorrect OTP</t>
        </is>
      </c>
      <c r="Y740" s="1" t="n">
        <v>46165.94130787037</v>
      </c>
    </row>
    <row r="741">
      <c r="A741" t="inlineStr">
        <is>
          <t>pay_HhRBPdyR5DvwO9</t>
        </is>
      </c>
      <c r="B741" t="n">
        <v>1499</v>
      </c>
      <c r="C741" t="inlineStr">
        <is>
          <t>INR</t>
        </is>
      </c>
      <c r="D741" t="inlineStr">
        <is>
          <t>captured</t>
        </is>
      </c>
      <c r="E741" t="inlineStr">
        <is>
          <t>order_TwJEaumg3ihzH4</t>
        </is>
      </c>
      <c r="G741" t="n">
        <v>0</v>
      </c>
      <c r="H741" t="inlineStr">
        <is>
          <t>card</t>
        </is>
      </c>
      <c r="I741" t="n">
        <v>0</v>
      </c>
      <c r="J741" t="n">
        <v>0</v>
      </c>
      <c r="L741" t="n">
        <v>1</v>
      </c>
      <c r="R741" t="inlineStr">
        <is>
          <t>customer850@example.com</t>
        </is>
      </c>
      <c r="S741">
        <f>+919862449426</f>
        <v/>
      </c>
      <c r="T741" t="inlineStr">
        <is>
          <t>[]</t>
        </is>
      </c>
      <c r="U741" t="n">
        <v>29.98</v>
      </c>
      <c r="V741" t="n">
        <v>5.4</v>
      </c>
      <c r="Y741" s="1" t="n">
        <v>46157.12579861111</v>
      </c>
    </row>
    <row r="742">
      <c r="A742" t="inlineStr">
        <is>
          <t>pay_BeLo35t6wsABJP</t>
        </is>
      </c>
      <c r="B742" t="n">
        <v>2499</v>
      </c>
      <c r="C742" t="inlineStr">
        <is>
          <t>INR</t>
        </is>
      </c>
      <c r="D742" t="inlineStr">
        <is>
          <t>captured</t>
        </is>
      </c>
      <c r="E742" t="inlineStr">
        <is>
          <t>order_9bpHkqrJYot5nY</t>
        </is>
      </c>
      <c r="G742" t="n">
        <v>0</v>
      </c>
      <c r="H742" t="inlineStr">
        <is>
          <t>upi</t>
        </is>
      </c>
      <c r="I742" t="n">
        <v>0</v>
      </c>
      <c r="J742" t="n">
        <v>0</v>
      </c>
      <c r="L742" t="n">
        <v>1</v>
      </c>
      <c r="R742" t="inlineStr">
        <is>
          <t>customer248@example.com</t>
        </is>
      </c>
      <c r="S742">
        <f>+919837298838</f>
        <v/>
      </c>
      <c r="T742" t="inlineStr">
        <is>
          <t>[]</t>
        </is>
      </c>
      <c r="U742" t="n">
        <v>49.98</v>
      </c>
      <c r="V742" t="n">
        <v>9</v>
      </c>
      <c r="Y742" s="1" t="n">
        <v>46165.73516203704</v>
      </c>
    </row>
    <row r="743">
      <c r="A743" t="inlineStr">
        <is>
          <t>pay_M0JMp7mlBxM8bc</t>
        </is>
      </c>
      <c r="B743" t="n">
        <v>2499</v>
      </c>
      <c r="C743" t="inlineStr">
        <is>
          <t>INR</t>
        </is>
      </c>
      <c r="D743" t="inlineStr">
        <is>
          <t>captured</t>
        </is>
      </c>
      <c r="E743" t="inlineStr">
        <is>
          <t>order_EcwiuJIBDtOwQm</t>
        </is>
      </c>
      <c r="G743" t="n">
        <v>0</v>
      </c>
      <c r="H743" t="inlineStr">
        <is>
          <t>netbanking</t>
        </is>
      </c>
      <c r="I743" t="n">
        <v>0</v>
      </c>
      <c r="J743" t="n">
        <v>0</v>
      </c>
      <c r="L743" t="n">
        <v>1</v>
      </c>
      <c r="R743" t="inlineStr">
        <is>
          <t>customer368@example.com</t>
        </is>
      </c>
      <c r="S743">
        <f>+919840862254</f>
        <v/>
      </c>
      <c r="T743" t="inlineStr">
        <is>
          <t>[]</t>
        </is>
      </c>
      <c r="U743" t="n">
        <v>49.98</v>
      </c>
      <c r="V743" t="n">
        <v>9</v>
      </c>
      <c r="Y743" s="1" t="n">
        <v>46164.67998842592</v>
      </c>
    </row>
    <row r="744">
      <c r="A744" t="inlineStr">
        <is>
          <t>pay_vuYppm0VRkGL6Y</t>
        </is>
      </c>
      <c r="B744" t="n">
        <v>1499</v>
      </c>
      <c r="C744" t="inlineStr">
        <is>
          <t>INR</t>
        </is>
      </c>
      <c r="D744" t="inlineStr">
        <is>
          <t>failed</t>
        </is>
      </c>
      <c r="E744" t="inlineStr">
        <is>
          <t>order_6imqziiHPjgUXd</t>
        </is>
      </c>
      <c r="G744" t="n">
        <v>0</v>
      </c>
      <c r="H744" t="inlineStr">
        <is>
          <t>card</t>
        </is>
      </c>
      <c r="I744" t="n">
        <v>0</v>
      </c>
      <c r="J744" t="n">
        <v>0</v>
      </c>
      <c r="L744" t="n">
        <v>0</v>
      </c>
      <c r="R744" t="inlineStr">
        <is>
          <t>customer709@example.com</t>
        </is>
      </c>
      <c r="S744">
        <f>+919852727435</f>
        <v/>
      </c>
      <c r="T744" t="inlineStr">
        <is>
          <t>[]</t>
        </is>
      </c>
      <c r="W744" t="inlineStr">
        <is>
          <t>BAD_REQUEST_ERROR</t>
        </is>
      </c>
      <c r="X744" t="inlineStr">
        <is>
          <t>Payment failed due to incorrect OTP</t>
        </is>
      </c>
      <c r="Y744" s="1" t="n">
        <v>46160.96774305555</v>
      </c>
    </row>
    <row r="745">
      <c r="A745" t="inlineStr">
        <is>
          <t>pay_SDNkYULGIwlhSb</t>
        </is>
      </c>
      <c r="B745" t="n">
        <v>999</v>
      </c>
      <c r="C745" t="inlineStr">
        <is>
          <t>INR</t>
        </is>
      </c>
      <c r="D745" t="inlineStr">
        <is>
          <t>captured</t>
        </is>
      </c>
      <c r="E745" t="inlineStr">
        <is>
          <t>order_crCEAc3LY4fWL5</t>
        </is>
      </c>
      <c r="G745" t="n">
        <v>0</v>
      </c>
      <c r="H745" t="inlineStr">
        <is>
          <t>upi</t>
        </is>
      </c>
      <c r="I745" t="n">
        <v>0</v>
      </c>
      <c r="J745" t="n">
        <v>0</v>
      </c>
      <c r="L745" t="n">
        <v>1</v>
      </c>
      <c r="R745" t="inlineStr">
        <is>
          <t>customer165@example.com</t>
        </is>
      </c>
      <c r="S745">
        <f>+919890328740</f>
        <v/>
      </c>
      <c r="T745" t="inlineStr">
        <is>
          <t>[]</t>
        </is>
      </c>
      <c r="U745" t="n">
        <v>19.98</v>
      </c>
      <c r="V745" t="n">
        <v>3.6</v>
      </c>
      <c r="Y745" s="1" t="n">
        <v>46171.70635416666</v>
      </c>
    </row>
    <row r="746">
      <c r="A746" t="inlineStr">
        <is>
          <t>pay_8SlUwEID9IJBiF</t>
        </is>
      </c>
      <c r="B746" t="n">
        <v>999</v>
      </c>
      <c r="C746" t="inlineStr">
        <is>
          <t>INR</t>
        </is>
      </c>
      <c r="D746" t="inlineStr">
        <is>
          <t>failed</t>
        </is>
      </c>
      <c r="E746" t="inlineStr">
        <is>
          <t>order_rGNr0qqrnjoRjd</t>
        </is>
      </c>
      <c r="G746" t="n">
        <v>0</v>
      </c>
      <c r="H746" t="inlineStr">
        <is>
          <t>upi</t>
        </is>
      </c>
      <c r="I746" t="n">
        <v>0</v>
      </c>
      <c r="J746" t="n">
        <v>0</v>
      </c>
      <c r="L746" t="n">
        <v>0</v>
      </c>
      <c r="R746" t="inlineStr">
        <is>
          <t>customer834@example.com</t>
        </is>
      </c>
      <c r="S746">
        <f>+919837059604</f>
        <v/>
      </c>
      <c r="T746" t="inlineStr">
        <is>
          <t>[]</t>
        </is>
      </c>
      <c r="W746" t="inlineStr">
        <is>
          <t>BAD_REQUEST_ERROR</t>
        </is>
      </c>
      <c r="X746" t="inlineStr">
        <is>
          <t>UPI app declined the request</t>
        </is>
      </c>
      <c r="Y746" s="1" t="n">
        <v>46167.87008101852</v>
      </c>
    </row>
    <row r="747">
      <c r="A747" t="inlineStr">
        <is>
          <t>pay_4SlkVQ4zkIpgQC</t>
        </is>
      </c>
      <c r="B747" t="n">
        <v>1799</v>
      </c>
      <c r="C747" t="inlineStr">
        <is>
          <t>INR</t>
        </is>
      </c>
      <c r="D747" t="inlineStr">
        <is>
          <t>failed</t>
        </is>
      </c>
      <c r="E747" t="inlineStr">
        <is>
          <t>order_9z09PRcgy1Bl4i</t>
        </is>
      </c>
      <c r="G747" t="n">
        <v>0</v>
      </c>
      <c r="H747" t="inlineStr">
        <is>
          <t>netbanking</t>
        </is>
      </c>
      <c r="I747" t="n">
        <v>0</v>
      </c>
      <c r="J747" t="n">
        <v>0</v>
      </c>
      <c r="L747" t="n">
        <v>0</v>
      </c>
      <c r="R747" t="inlineStr">
        <is>
          <t>customer507@example.com</t>
        </is>
      </c>
      <c r="S747">
        <f>+919862608026</f>
        <v/>
      </c>
      <c r="T747" t="inlineStr">
        <is>
          <t>[]</t>
        </is>
      </c>
      <c r="W747" t="inlineStr">
        <is>
          <t>BAD_REQUEST_ERROR</t>
        </is>
      </c>
      <c r="X747" t="inlineStr">
        <is>
          <t>Payment cancelled by user</t>
        </is>
      </c>
      <c r="Y747" s="1" t="n">
        <v>46149.96998842592</v>
      </c>
    </row>
    <row r="748">
      <c r="A748" t="inlineStr">
        <is>
          <t>pay_cuUlzC5iGjeljG</t>
        </is>
      </c>
      <c r="B748" t="n">
        <v>1799</v>
      </c>
      <c r="C748" t="inlineStr">
        <is>
          <t>INR</t>
        </is>
      </c>
      <c r="D748" t="inlineStr">
        <is>
          <t>captured</t>
        </is>
      </c>
      <c r="E748" t="inlineStr">
        <is>
          <t>order_bmCJngXZFk9pBL</t>
        </is>
      </c>
      <c r="G748" t="n">
        <v>0</v>
      </c>
      <c r="H748" t="inlineStr">
        <is>
          <t>netbanking</t>
        </is>
      </c>
      <c r="I748" t="n">
        <v>0</v>
      </c>
      <c r="J748" t="n">
        <v>0</v>
      </c>
      <c r="L748" t="n">
        <v>1</v>
      </c>
      <c r="R748" t="inlineStr">
        <is>
          <t>customer890@example.com</t>
        </is>
      </c>
      <c r="S748">
        <f>+919836959546</f>
        <v/>
      </c>
      <c r="T748" t="inlineStr">
        <is>
          <t>[]</t>
        </is>
      </c>
      <c r="U748" t="n">
        <v>35.98</v>
      </c>
      <c r="V748" t="n">
        <v>6.48</v>
      </c>
      <c r="Y748" s="1" t="n">
        <v>46153.42972222222</v>
      </c>
    </row>
    <row r="749">
      <c r="A749" t="inlineStr">
        <is>
          <t>pay_rIX1uJINLPR9dA</t>
        </is>
      </c>
      <c r="B749" t="n">
        <v>1799</v>
      </c>
      <c r="C749" t="inlineStr">
        <is>
          <t>INR</t>
        </is>
      </c>
      <c r="D749" t="inlineStr">
        <is>
          <t>failed</t>
        </is>
      </c>
      <c r="E749" t="inlineStr">
        <is>
          <t>order_HGfvYTbeZSGdaW</t>
        </is>
      </c>
      <c r="G749" t="n">
        <v>0</v>
      </c>
      <c r="H749" t="inlineStr">
        <is>
          <t>upi</t>
        </is>
      </c>
      <c r="I749" t="n">
        <v>0</v>
      </c>
      <c r="J749" t="n">
        <v>0</v>
      </c>
      <c r="L749" t="n">
        <v>0</v>
      </c>
      <c r="R749" t="inlineStr">
        <is>
          <t>customer391@example.com</t>
        </is>
      </c>
      <c r="S749">
        <f>+919891690473</f>
        <v/>
      </c>
      <c r="T749" t="inlineStr">
        <is>
          <t>[]</t>
        </is>
      </c>
      <c r="W749" t="inlineStr">
        <is>
          <t>BAD_REQUEST_ERROR</t>
        </is>
      </c>
      <c r="X749" t="inlineStr">
        <is>
          <t>Payment was not completed on time</t>
        </is>
      </c>
      <c r="Y749" s="1" t="n">
        <v>46144.35459490741</v>
      </c>
    </row>
    <row r="750">
      <c r="A750" t="inlineStr">
        <is>
          <t>pay_o9j9Tw1PEgaTLt</t>
        </is>
      </c>
      <c r="B750" t="n">
        <v>1799</v>
      </c>
      <c r="C750" t="inlineStr">
        <is>
          <t>INR</t>
        </is>
      </c>
      <c r="D750" t="inlineStr">
        <is>
          <t>captured</t>
        </is>
      </c>
      <c r="E750" t="inlineStr">
        <is>
          <t>order_HGfvYTbeZSGdaW</t>
        </is>
      </c>
      <c r="G750" t="n">
        <v>0</v>
      </c>
      <c r="H750" t="inlineStr">
        <is>
          <t>upi</t>
        </is>
      </c>
      <c r="I750" t="n">
        <v>0</v>
      </c>
      <c r="J750" t="n">
        <v>0</v>
      </c>
      <c r="L750" t="n">
        <v>1</v>
      </c>
      <c r="R750" t="inlineStr">
        <is>
          <t>customer140@example.com</t>
        </is>
      </c>
      <c r="S750">
        <f>+919859786876</f>
        <v/>
      </c>
      <c r="T750" t="inlineStr">
        <is>
          <t>[]</t>
        </is>
      </c>
      <c r="U750" t="n">
        <v>35.98</v>
      </c>
      <c r="V750" t="n">
        <v>6.48</v>
      </c>
      <c r="Y750" s="1" t="n">
        <v>46144.35847222222</v>
      </c>
    </row>
    <row r="751">
      <c r="A751" t="inlineStr">
        <is>
          <t>pay_cJzaujTbZSVkN9</t>
        </is>
      </c>
      <c r="B751" t="n">
        <v>999</v>
      </c>
      <c r="C751" t="inlineStr">
        <is>
          <t>INR</t>
        </is>
      </c>
      <c r="D751" t="inlineStr">
        <is>
          <t>failed</t>
        </is>
      </c>
      <c r="E751" t="inlineStr">
        <is>
          <t>order_i4GPpLZAMf5sdW</t>
        </is>
      </c>
      <c r="G751" t="n">
        <v>0</v>
      </c>
      <c r="H751" t="inlineStr">
        <is>
          <t>upi</t>
        </is>
      </c>
      <c r="I751" t="n">
        <v>0</v>
      </c>
      <c r="J751" t="n">
        <v>0</v>
      </c>
      <c r="L751" t="n">
        <v>0</v>
      </c>
      <c r="R751" t="inlineStr">
        <is>
          <t>customer178@example.com</t>
        </is>
      </c>
      <c r="S751">
        <f>+919823920599</f>
        <v/>
      </c>
      <c r="T751" t="inlineStr">
        <is>
          <t>[]</t>
        </is>
      </c>
      <c r="W751" t="inlineStr">
        <is>
          <t>BAD_REQUEST_ERROR</t>
        </is>
      </c>
      <c r="X751" t="inlineStr">
        <is>
          <t>Payment was not completed on time</t>
        </is>
      </c>
      <c r="Y751" s="1" t="n">
        <v>46145.13611111111</v>
      </c>
    </row>
    <row r="752">
      <c r="A752" t="inlineStr">
        <is>
          <t>pay_dqktO5XgmFYc1L</t>
        </is>
      </c>
      <c r="B752" t="n">
        <v>499</v>
      </c>
      <c r="C752" t="inlineStr">
        <is>
          <t>INR</t>
        </is>
      </c>
      <c r="D752" t="inlineStr">
        <is>
          <t>failed</t>
        </is>
      </c>
      <c r="E752" t="inlineStr">
        <is>
          <t>order_DpUkrEY4MyiZHn</t>
        </is>
      </c>
      <c r="G752" t="n">
        <v>0</v>
      </c>
      <c r="H752" t="inlineStr">
        <is>
          <t>card</t>
        </is>
      </c>
      <c r="I752" t="n">
        <v>0</v>
      </c>
      <c r="J752" t="n">
        <v>0</v>
      </c>
      <c r="L752" t="n">
        <v>0</v>
      </c>
      <c r="R752" t="inlineStr">
        <is>
          <t>customer506@example.com</t>
        </is>
      </c>
      <c r="S752">
        <f>+919855959438</f>
        <v/>
      </c>
      <c r="T752" t="inlineStr">
        <is>
          <t>[]</t>
        </is>
      </c>
      <c r="W752" t="inlineStr">
        <is>
          <t>BAD_REQUEST_ERROR</t>
        </is>
      </c>
      <c r="X752" t="inlineStr">
        <is>
          <t>Payment failed due to incorrect OTP</t>
        </is>
      </c>
      <c r="Y752" s="1" t="n">
        <v>46152.83082175926</v>
      </c>
    </row>
    <row r="753">
      <c r="A753" t="inlineStr">
        <is>
          <t>pay_TxChvwHKkGCYGg</t>
        </is>
      </c>
      <c r="B753" t="n">
        <v>499</v>
      </c>
      <c r="C753" t="inlineStr">
        <is>
          <t>INR</t>
        </is>
      </c>
      <c r="D753" t="inlineStr">
        <is>
          <t>captured</t>
        </is>
      </c>
      <c r="E753" t="inlineStr">
        <is>
          <t>order_DpUkrEY4MyiZHn</t>
        </is>
      </c>
      <c r="G753" t="n">
        <v>0</v>
      </c>
      <c r="H753" t="inlineStr">
        <is>
          <t>card</t>
        </is>
      </c>
      <c r="I753" t="n">
        <v>0</v>
      </c>
      <c r="J753" t="n">
        <v>0</v>
      </c>
      <c r="L753" t="n">
        <v>1</v>
      </c>
      <c r="R753" t="inlineStr">
        <is>
          <t>customer812@example.com</t>
        </is>
      </c>
      <c r="S753">
        <f>+919816945973</f>
        <v/>
      </c>
      <c r="T753" t="inlineStr">
        <is>
          <t>[]</t>
        </is>
      </c>
      <c r="U753" t="n">
        <v>9.98</v>
      </c>
      <c r="V753" t="n">
        <v>1.8</v>
      </c>
      <c r="Y753" s="1" t="n">
        <v>46152.83680555555</v>
      </c>
    </row>
    <row r="754">
      <c r="A754" t="inlineStr">
        <is>
          <t>pay_hU8gxWvXhox9ie</t>
        </is>
      </c>
      <c r="B754" t="n">
        <v>1799</v>
      </c>
      <c r="C754" t="inlineStr">
        <is>
          <t>INR</t>
        </is>
      </c>
      <c r="D754" t="inlineStr">
        <is>
          <t>failed</t>
        </is>
      </c>
      <c r="E754" t="inlineStr">
        <is>
          <t>order_DE0vzF2d4SBkLB</t>
        </is>
      </c>
      <c r="G754" t="n">
        <v>0</v>
      </c>
      <c r="H754" t="inlineStr">
        <is>
          <t>upi</t>
        </is>
      </c>
      <c r="I754" t="n">
        <v>0</v>
      </c>
      <c r="J754" t="n">
        <v>0</v>
      </c>
      <c r="L754" t="n">
        <v>0</v>
      </c>
      <c r="R754" t="inlineStr">
        <is>
          <t>customer10@example.com</t>
        </is>
      </c>
      <c r="S754">
        <f>+919853573096</f>
        <v/>
      </c>
      <c r="T754" t="inlineStr">
        <is>
          <t>[]</t>
        </is>
      </c>
      <c r="W754" t="inlineStr">
        <is>
          <t>BAD_REQUEST_ERROR</t>
        </is>
      </c>
      <c r="X754" t="inlineStr">
        <is>
          <t>Payment was not completed on time</t>
        </is>
      </c>
      <c r="Y754" s="1" t="n">
        <v>46143.7549537037</v>
      </c>
    </row>
    <row r="755">
      <c r="A755" t="inlineStr">
        <is>
          <t>pay_ITzTo6p6DzvrkR</t>
        </is>
      </c>
      <c r="B755" t="n">
        <v>1799</v>
      </c>
      <c r="C755" t="inlineStr">
        <is>
          <t>INR</t>
        </is>
      </c>
      <c r="D755" t="inlineStr">
        <is>
          <t>captured</t>
        </is>
      </c>
      <c r="E755" t="inlineStr">
        <is>
          <t>order_DE0vzF2d4SBkLB</t>
        </is>
      </c>
      <c r="G755" t="n">
        <v>0</v>
      </c>
      <c r="H755" t="inlineStr">
        <is>
          <t>upi</t>
        </is>
      </c>
      <c r="I755" t="n">
        <v>0</v>
      </c>
      <c r="J755" t="n">
        <v>0</v>
      </c>
      <c r="L755" t="n">
        <v>1</v>
      </c>
      <c r="R755" t="inlineStr">
        <is>
          <t>customer129@example.com</t>
        </is>
      </c>
      <c r="S755">
        <f>+919813360526</f>
        <v/>
      </c>
      <c r="T755" t="inlineStr">
        <is>
          <t>[]</t>
        </is>
      </c>
      <c r="U755" t="n">
        <v>35.98</v>
      </c>
      <c r="V755" t="n">
        <v>6.48</v>
      </c>
      <c r="Y755" s="1" t="n">
        <v>46143.75820601852</v>
      </c>
    </row>
    <row r="756">
      <c r="A756" t="inlineStr">
        <is>
          <t>pay_fNOLRACZN0feRM</t>
        </is>
      </c>
      <c r="B756" t="n">
        <v>999</v>
      </c>
      <c r="C756" t="inlineStr">
        <is>
          <t>INR</t>
        </is>
      </c>
      <c r="D756" t="inlineStr">
        <is>
          <t>captured</t>
        </is>
      </c>
      <c r="E756" t="inlineStr">
        <is>
          <t>order_FZtTb3NbICkYF8</t>
        </is>
      </c>
      <c r="G756" t="n">
        <v>0</v>
      </c>
      <c r="H756" t="inlineStr">
        <is>
          <t>upi</t>
        </is>
      </c>
      <c r="I756" t="n">
        <v>0</v>
      </c>
      <c r="J756" t="n">
        <v>0</v>
      </c>
      <c r="L756" t="n">
        <v>1</v>
      </c>
      <c r="R756" t="inlineStr">
        <is>
          <t>customer142@example.com</t>
        </is>
      </c>
      <c r="S756">
        <f>+919873726410</f>
        <v/>
      </c>
      <c r="T756" t="inlineStr">
        <is>
          <t>[]</t>
        </is>
      </c>
      <c r="U756" t="n">
        <v>19.98</v>
      </c>
      <c r="V756" t="n">
        <v>3.6</v>
      </c>
      <c r="Y756" s="1" t="n">
        <v>46152.8941087963</v>
      </c>
    </row>
    <row r="757">
      <c r="A757" t="inlineStr">
        <is>
          <t>pay_sJDs9jTNYmm1Q4</t>
        </is>
      </c>
      <c r="B757" t="n">
        <v>2499</v>
      </c>
      <c r="C757" t="inlineStr">
        <is>
          <t>INR</t>
        </is>
      </c>
      <c r="D757" t="inlineStr">
        <is>
          <t>captured</t>
        </is>
      </c>
      <c r="E757" t="inlineStr">
        <is>
          <t>order_Kuu8ydzbF0Cyzi</t>
        </is>
      </c>
      <c r="G757" t="n">
        <v>0</v>
      </c>
      <c r="H757" t="inlineStr">
        <is>
          <t>upi</t>
        </is>
      </c>
      <c r="I757" t="n">
        <v>0</v>
      </c>
      <c r="J757" t="n">
        <v>0</v>
      </c>
      <c r="L757" t="n">
        <v>1</v>
      </c>
      <c r="R757" t="inlineStr">
        <is>
          <t>customer48@example.com</t>
        </is>
      </c>
      <c r="S757">
        <f>+919890384141</f>
        <v/>
      </c>
      <c r="T757" t="inlineStr">
        <is>
          <t>[]</t>
        </is>
      </c>
      <c r="U757" t="n">
        <v>49.98</v>
      </c>
      <c r="V757" t="n">
        <v>9</v>
      </c>
      <c r="Y757" s="1" t="n">
        <v>46154.07034722222</v>
      </c>
    </row>
    <row r="758">
      <c r="A758" t="inlineStr">
        <is>
          <t>pay_xU5ZrolgZhQIQH</t>
        </is>
      </c>
      <c r="B758" t="n">
        <v>2499</v>
      </c>
      <c r="C758" t="inlineStr">
        <is>
          <t>INR</t>
        </is>
      </c>
      <c r="D758" t="inlineStr">
        <is>
          <t>captured</t>
        </is>
      </c>
      <c r="E758" t="inlineStr">
        <is>
          <t>order_geAMs52MNghZTW</t>
        </is>
      </c>
      <c r="G758" t="n">
        <v>0</v>
      </c>
      <c r="H758" t="inlineStr">
        <is>
          <t>upi</t>
        </is>
      </c>
      <c r="I758" t="n">
        <v>0</v>
      </c>
      <c r="J758" t="n">
        <v>0</v>
      </c>
      <c r="L758" t="n">
        <v>1</v>
      </c>
      <c r="R758" t="inlineStr">
        <is>
          <t>customer3@example.com</t>
        </is>
      </c>
      <c r="S758">
        <f>+919876126572</f>
        <v/>
      </c>
      <c r="T758" t="inlineStr">
        <is>
          <t>[]</t>
        </is>
      </c>
      <c r="U758" t="n">
        <v>49.98</v>
      </c>
      <c r="V758" t="n">
        <v>9</v>
      </c>
      <c r="Y758" s="1" t="n">
        <v>46153.35633101852</v>
      </c>
    </row>
    <row r="759">
      <c r="A759" t="inlineStr">
        <is>
          <t>pay_CFvo433NjmaZ4j</t>
        </is>
      </c>
      <c r="B759" t="n">
        <v>1799</v>
      </c>
      <c r="C759" t="inlineStr">
        <is>
          <t>INR</t>
        </is>
      </c>
      <c r="D759" t="inlineStr">
        <is>
          <t>failed</t>
        </is>
      </c>
      <c r="E759" t="inlineStr">
        <is>
          <t>order_ZSR0zcwRFgyEXi</t>
        </is>
      </c>
      <c r="G759" t="n">
        <v>0</v>
      </c>
      <c r="H759" t="inlineStr">
        <is>
          <t>card</t>
        </is>
      </c>
      <c r="I759" t="n">
        <v>0</v>
      </c>
      <c r="J759" t="n">
        <v>0</v>
      </c>
      <c r="L759" t="n">
        <v>0</v>
      </c>
      <c r="R759" t="inlineStr">
        <is>
          <t>customer661@example.com</t>
        </is>
      </c>
      <c r="S759">
        <f>+919899476799</f>
        <v/>
      </c>
      <c r="T759" t="inlineStr">
        <is>
          <t>[]</t>
        </is>
      </c>
      <c r="W759" t="inlineStr">
        <is>
          <t>BAD_REQUEST_ERROR</t>
        </is>
      </c>
      <c r="X759" t="inlineStr">
        <is>
          <t>Card declined by bank</t>
        </is>
      </c>
      <c r="Y759" s="1" t="n">
        <v>46146.29299768519</v>
      </c>
    </row>
    <row r="760">
      <c r="A760" t="inlineStr">
        <is>
          <t>pay_E4k8lb90dF0hmq</t>
        </is>
      </c>
      <c r="B760" t="n">
        <v>3999</v>
      </c>
      <c r="C760" t="inlineStr">
        <is>
          <t>INR</t>
        </is>
      </c>
      <c r="D760" t="inlineStr">
        <is>
          <t>captured</t>
        </is>
      </c>
      <c r="E760" t="inlineStr">
        <is>
          <t>order_wsoOIPqHzzhTIe</t>
        </is>
      </c>
      <c r="G760" t="n">
        <v>0</v>
      </c>
      <c r="H760" t="inlineStr">
        <is>
          <t>upi</t>
        </is>
      </c>
      <c r="I760" t="n">
        <v>0</v>
      </c>
      <c r="J760" t="n">
        <v>0</v>
      </c>
      <c r="L760" t="n">
        <v>1</v>
      </c>
      <c r="R760" t="inlineStr">
        <is>
          <t>customer534@example.com</t>
        </is>
      </c>
      <c r="S760">
        <f>+919810360497</f>
        <v/>
      </c>
      <c r="T760" t="inlineStr">
        <is>
          <t>[]</t>
        </is>
      </c>
      <c r="U760" t="n">
        <v>79.98</v>
      </c>
      <c r="V760" t="n">
        <v>14.4</v>
      </c>
      <c r="Y760" s="1" t="n">
        <v>46151.97672453704</v>
      </c>
    </row>
    <row r="761">
      <c r="A761" t="inlineStr">
        <is>
          <t>pay_wMSicGVot0QT7Q</t>
        </is>
      </c>
      <c r="B761" t="n">
        <v>999</v>
      </c>
      <c r="C761" t="inlineStr">
        <is>
          <t>INR</t>
        </is>
      </c>
      <c r="D761" t="inlineStr">
        <is>
          <t>captured</t>
        </is>
      </c>
      <c r="E761" t="inlineStr">
        <is>
          <t>order_wSOmKKgvqrgLFY</t>
        </is>
      </c>
      <c r="G761" t="n">
        <v>0</v>
      </c>
      <c r="H761" t="inlineStr">
        <is>
          <t>upi</t>
        </is>
      </c>
      <c r="I761" t="n">
        <v>0</v>
      </c>
      <c r="J761" t="n">
        <v>0</v>
      </c>
      <c r="L761" t="n">
        <v>1</v>
      </c>
      <c r="R761" t="inlineStr">
        <is>
          <t>customer405@example.com</t>
        </is>
      </c>
      <c r="S761">
        <f>+919896599584</f>
        <v/>
      </c>
      <c r="T761" t="inlineStr">
        <is>
          <t>[]</t>
        </is>
      </c>
      <c r="U761" t="n">
        <v>19.98</v>
      </c>
      <c r="V761" t="n">
        <v>3.6</v>
      </c>
      <c r="Y761" s="1" t="n">
        <v>46159.45259259259</v>
      </c>
    </row>
    <row r="762">
      <c r="A762" t="inlineStr">
        <is>
          <t>pay_qFhU3gyFYj7Ap0</t>
        </is>
      </c>
      <c r="B762" t="n">
        <v>1799</v>
      </c>
      <c r="C762" t="inlineStr">
        <is>
          <t>INR</t>
        </is>
      </c>
      <c r="D762" t="inlineStr">
        <is>
          <t>captured</t>
        </is>
      </c>
      <c r="E762" t="inlineStr">
        <is>
          <t>order_mPBsbL8nJXI5ZI</t>
        </is>
      </c>
      <c r="G762" t="n">
        <v>0</v>
      </c>
      <c r="H762" t="inlineStr">
        <is>
          <t>card</t>
        </is>
      </c>
      <c r="I762" t="n">
        <v>0</v>
      </c>
      <c r="J762" t="n">
        <v>0</v>
      </c>
      <c r="L762" t="n">
        <v>1</v>
      </c>
      <c r="R762" t="inlineStr">
        <is>
          <t>customer741@example.com</t>
        </is>
      </c>
      <c r="S762">
        <f>+919872088718</f>
        <v/>
      </c>
      <c r="T762" t="inlineStr">
        <is>
          <t>[]</t>
        </is>
      </c>
      <c r="U762" t="n">
        <v>35.98</v>
      </c>
      <c r="V762" t="n">
        <v>6.48</v>
      </c>
      <c r="Y762" s="1" t="n">
        <v>46159.32575231481</v>
      </c>
    </row>
    <row r="763">
      <c r="A763" t="inlineStr">
        <is>
          <t>pay_NS7ghh9udvM5as</t>
        </is>
      </c>
      <c r="B763" t="n">
        <v>1799</v>
      </c>
      <c r="C763" t="inlineStr">
        <is>
          <t>INR</t>
        </is>
      </c>
      <c r="D763" t="inlineStr">
        <is>
          <t>captured</t>
        </is>
      </c>
      <c r="E763" t="inlineStr">
        <is>
          <t>order_tFz0y8GZvHQaIu</t>
        </is>
      </c>
      <c r="G763" t="n">
        <v>0</v>
      </c>
      <c r="H763" t="inlineStr">
        <is>
          <t>upi</t>
        </is>
      </c>
      <c r="I763" t="n">
        <v>0</v>
      </c>
      <c r="J763" t="n">
        <v>0</v>
      </c>
      <c r="L763" t="n">
        <v>1</v>
      </c>
      <c r="R763" t="inlineStr">
        <is>
          <t>customer212@example.com</t>
        </is>
      </c>
      <c r="S763">
        <f>+919862021249</f>
        <v/>
      </c>
      <c r="T763" t="inlineStr">
        <is>
          <t>[]</t>
        </is>
      </c>
      <c r="U763" t="n">
        <v>35.98</v>
      </c>
      <c r="V763" t="n">
        <v>6.48</v>
      </c>
      <c r="Y763" s="1" t="n">
        <v>46167.18702546296</v>
      </c>
    </row>
    <row r="764">
      <c r="A764" t="inlineStr">
        <is>
          <t>pay_FZu4Y7BUeIdKeZ</t>
        </is>
      </c>
      <c r="B764" t="n">
        <v>999</v>
      </c>
      <c r="C764" t="inlineStr">
        <is>
          <t>INR</t>
        </is>
      </c>
      <c r="D764" t="inlineStr">
        <is>
          <t>failed</t>
        </is>
      </c>
      <c r="E764" t="inlineStr">
        <is>
          <t>order_0CzmjIT6TSFmen</t>
        </is>
      </c>
      <c r="G764" t="n">
        <v>0</v>
      </c>
      <c r="H764" t="inlineStr">
        <is>
          <t>upi</t>
        </is>
      </c>
      <c r="I764" t="n">
        <v>0</v>
      </c>
      <c r="J764" t="n">
        <v>0</v>
      </c>
      <c r="L764" t="n">
        <v>0</v>
      </c>
      <c r="R764" t="inlineStr">
        <is>
          <t>customer262@example.com</t>
        </is>
      </c>
      <c r="S764">
        <f>+919838392468</f>
        <v/>
      </c>
      <c r="T764" t="inlineStr">
        <is>
          <t>[]</t>
        </is>
      </c>
      <c r="W764" t="inlineStr">
        <is>
          <t>BAD_REQUEST_ERROR</t>
        </is>
      </c>
      <c r="X764" t="inlineStr">
        <is>
          <t>UPI app declined the request</t>
        </is>
      </c>
      <c r="Y764" s="1" t="n">
        <v>46151.4893287037</v>
      </c>
    </row>
    <row r="765">
      <c r="A765" t="inlineStr">
        <is>
          <t>pay_nBx8jwcj9dmMWY</t>
        </is>
      </c>
      <c r="B765" t="n">
        <v>999</v>
      </c>
      <c r="C765" t="inlineStr">
        <is>
          <t>INR</t>
        </is>
      </c>
      <c r="D765" t="inlineStr">
        <is>
          <t>captured</t>
        </is>
      </c>
      <c r="E765" t="inlineStr">
        <is>
          <t>order_0CzmjIT6TSFmen</t>
        </is>
      </c>
      <c r="G765" t="n">
        <v>0</v>
      </c>
      <c r="H765" t="inlineStr">
        <is>
          <t>upi</t>
        </is>
      </c>
      <c r="I765" t="n">
        <v>0</v>
      </c>
      <c r="J765" t="n">
        <v>0</v>
      </c>
      <c r="L765" t="n">
        <v>1</v>
      </c>
      <c r="R765" t="inlineStr">
        <is>
          <t>customer53@example.com</t>
        </is>
      </c>
      <c r="S765">
        <f>+919824914046</f>
        <v/>
      </c>
      <c r="T765" t="inlineStr">
        <is>
          <t>[]</t>
        </is>
      </c>
      <c r="U765" t="n">
        <v>19.98</v>
      </c>
      <c r="V765" t="n">
        <v>3.6</v>
      </c>
      <c r="Y765" s="1" t="n">
        <v>46151.49434027778</v>
      </c>
    </row>
    <row r="766">
      <c r="A766" t="inlineStr">
        <is>
          <t>pay_UWuov5yTYgw0mD</t>
        </is>
      </c>
      <c r="B766" t="n">
        <v>499</v>
      </c>
      <c r="C766" t="inlineStr">
        <is>
          <t>INR</t>
        </is>
      </c>
      <c r="D766" t="inlineStr">
        <is>
          <t>failed</t>
        </is>
      </c>
      <c r="E766" t="inlineStr">
        <is>
          <t>order_X6dcxzAgh1wFo8</t>
        </is>
      </c>
      <c r="G766" t="n">
        <v>0</v>
      </c>
      <c r="H766" t="inlineStr">
        <is>
          <t>card</t>
        </is>
      </c>
      <c r="I766" t="n">
        <v>0</v>
      </c>
      <c r="J766" t="n">
        <v>0</v>
      </c>
      <c r="L766" t="n">
        <v>0</v>
      </c>
      <c r="R766" t="inlineStr">
        <is>
          <t>customer776@example.com</t>
        </is>
      </c>
      <c r="S766">
        <f>+919824336206</f>
        <v/>
      </c>
      <c r="T766" t="inlineStr">
        <is>
          <t>[]</t>
        </is>
      </c>
      <c r="W766" t="inlineStr">
        <is>
          <t>BAD_REQUEST_ERROR</t>
        </is>
      </c>
      <c r="X766" t="inlineStr">
        <is>
          <t>Card declined by bank</t>
        </is>
      </c>
      <c r="Y766" s="1" t="n">
        <v>46172.13209490741</v>
      </c>
    </row>
    <row r="767">
      <c r="A767" t="inlineStr">
        <is>
          <t>pay_WEn3HPZv4ukEgY</t>
        </is>
      </c>
      <c r="B767" t="n">
        <v>499</v>
      </c>
      <c r="C767" t="inlineStr">
        <is>
          <t>INR</t>
        </is>
      </c>
      <c r="D767" t="inlineStr">
        <is>
          <t>failed</t>
        </is>
      </c>
      <c r="E767" t="inlineStr">
        <is>
          <t>order_X6dcxzAgh1wFo8</t>
        </is>
      </c>
      <c r="G767" t="n">
        <v>0</v>
      </c>
      <c r="H767" t="inlineStr">
        <is>
          <t>card</t>
        </is>
      </c>
      <c r="I767" t="n">
        <v>0</v>
      </c>
      <c r="J767" t="n">
        <v>0</v>
      </c>
      <c r="L767" t="n">
        <v>0</v>
      </c>
      <c r="R767" t="inlineStr">
        <is>
          <t>customer169@example.com</t>
        </is>
      </c>
      <c r="S767">
        <f>+919851385018</f>
        <v/>
      </c>
      <c r="T767" t="inlineStr">
        <is>
          <t>[]</t>
        </is>
      </c>
      <c r="W767" t="inlineStr">
        <is>
          <t>BAD_REQUEST_ERROR</t>
        </is>
      </c>
      <c r="X767" t="inlineStr">
        <is>
          <t>Payment cancelled by user</t>
        </is>
      </c>
      <c r="Y767" s="1" t="n">
        <v>46172.13688657407</v>
      </c>
    </row>
    <row r="768">
      <c r="A768" t="inlineStr">
        <is>
          <t>pay_8bibI4fgB3YGsj</t>
        </is>
      </c>
      <c r="B768" t="n">
        <v>1499</v>
      </c>
      <c r="C768" t="inlineStr">
        <is>
          <t>INR</t>
        </is>
      </c>
      <c r="D768" t="inlineStr">
        <is>
          <t>failed</t>
        </is>
      </c>
      <c r="E768" t="inlineStr">
        <is>
          <t>order_bQtIeqjEKrhNzS</t>
        </is>
      </c>
      <c r="G768" t="n">
        <v>0</v>
      </c>
      <c r="H768" t="inlineStr">
        <is>
          <t>card</t>
        </is>
      </c>
      <c r="I768" t="n">
        <v>0</v>
      </c>
      <c r="J768" t="n">
        <v>0</v>
      </c>
      <c r="L768" t="n">
        <v>0</v>
      </c>
      <c r="R768" t="inlineStr">
        <is>
          <t>customer450@example.com</t>
        </is>
      </c>
      <c r="S768">
        <f>+919894815171</f>
        <v/>
      </c>
      <c r="T768" t="inlineStr">
        <is>
          <t>[]</t>
        </is>
      </c>
      <c r="W768" t="inlineStr">
        <is>
          <t>BAD_REQUEST_ERROR</t>
        </is>
      </c>
      <c r="X768" t="inlineStr">
        <is>
          <t>Payment cancelled by user</t>
        </is>
      </c>
      <c r="Y768" s="1" t="n">
        <v>46145.83760416666</v>
      </c>
    </row>
    <row r="769">
      <c r="A769" t="inlineStr">
        <is>
          <t>pay_1ZitFzNpbOphqE</t>
        </is>
      </c>
      <c r="B769" t="n">
        <v>1499</v>
      </c>
      <c r="C769" t="inlineStr">
        <is>
          <t>INR</t>
        </is>
      </c>
      <c r="D769" t="inlineStr">
        <is>
          <t>failed</t>
        </is>
      </c>
      <c r="E769" t="inlineStr">
        <is>
          <t>order_bQtIeqjEKrhNzS</t>
        </is>
      </c>
      <c r="G769" t="n">
        <v>0</v>
      </c>
      <c r="H769" t="inlineStr">
        <is>
          <t>card</t>
        </is>
      </c>
      <c r="I769" t="n">
        <v>0</v>
      </c>
      <c r="J769" t="n">
        <v>0</v>
      </c>
      <c r="L769" t="n">
        <v>0</v>
      </c>
      <c r="R769" t="inlineStr">
        <is>
          <t>customer601@example.com</t>
        </is>
      </c>
      <c r="S769">
        <f>+919821475489</f>
        <v/>
      </c>
      <c r="T769" t="inlineStr">
        <is>
          <t>[]</t>
        </is>
      </c>
      <c r="W769" t="inlineStr">
        <is>
          <t>BAD_REQUEST_ERROR</t>
        </is>
      </c>
      <c r="X769" t="inlineStr">
        <is>
          <t>Payment cancelled by user</t>
        </is>
      </c>
      <c r="Y769" s="1" t="n">
        <v>46145.84295138889</v>
      </c>
    </row>
    <row r="770">
      <c r="A770" t="inlineStr">
        <is>
          <t>pay_3dOubPVMGIjmpd</t>
        </is>
      </c>
      <c r="B770" t="n">
        <v>1499</v>
      </c>
      <c r="C770" t="inlineStr">
        <is>
          <t>INR</t>
        </is>
      </c>
      <c r="D770" t="inlineStr">
        <is>
          <t>captured</t>
        </is>
      </c>
      <c r="E770" t="inlineStr">
        <is>
          <t>order_bQtIeqjEKrhNzS</t>
        </is>
      </c>
      <c r="G770" t="n">
        <v>0</v>
      </c>
      <c r="H770" t="inlineStr">
        <is>
          <t>card</t>
        </is>
      </c>
      <c r="I770" t="n">
        <v>0</v>
      </c>
      <c r="J770" t="n">
        <v>0</v>
      </c>
      <c r="L770" t="n">
        <v>1</v>
      </c>
      <c r="R770" t="inlineStr">
        <is>
          <t>customer705@example.com</t>
        </is>
      </c>
      <c r="S770">
        <f>+919874734244</f>
        <v/>
      </c>
      <c r="T770" t="inlineStr">
        <is>
          <t>[]</t>
        </is>
      </c>
      <c r="U770" t="n">
        <v>29.98</v>
      </c>
      <c r="V770" t="n">
        <v>5.4</v>
      </c>
      <c r="Y770" s="1" t="n">
        <v>46145.84621527778</v>
      </c>
    </row>
    <row r="771">
      <c r="A771" t="inlineStr">
        <is>
          <t>pay_JKJsm4Tsb68iaQ</t>
        </is>
      </c>
      <c r="B771" t="n">
        <v>2499</v>
      </c>
      <c r="C771" t="inlineStr">
        <is>
          <t>INR</t>
        </is>
      </c>
      <c r="D771" t="inlineStr">
        <is>
          <t>captured</t>
        </is>
      </c>
      <c r="E771" t="inlineStr">
        <is>
          <t>order_E5Ve0L0M4GwYSB</t>
        </is>
      </c>
      <c r="G771" t="n">
        <v>0</v>
      </c>
      <c r="H771" t="inlineStr">
        <is>
          <t>upi</t>
        </is>
      </c>
      <c r="I771" t="n">
        <v>0</v>
      </c>
      <c r="J771" t="n">
        <v>0</v>
      </c>
      <c r="L771" t="n">
        <v>1</v>
      </c>
      <c r="R771" t="inlineStr">
        <is>
          <t>customer489@example.com</t>
        </is>
      </c>
      <c r="S771">
        <f>+919860774048</f>
        <v/>
      </c>
      <c r="T771" t="inlineStr">
        <is>
          <t>[]</t>
        </is>
      </c>
      <c r="U771" t="n">
        <v>49.98</v>
      </c>
      <c r="V771" t="n">
        <v>9</v>
      </c>
      <c r="Y771" s="1" t="n">
        <v>46151.00237268519</v>
      </c>
    </row>
    <row r="772">
      <c r="A772" t="inlineStr">
        <is>
          <t>pay_J0AJPNWdYFDZsG</t>
        </is>
      </c>
      <c r="B772" t="n">
        <v>999</v>
      </c>
      <c r="C772" t="inlineStr">
        <is>
          <t>INR</t>
        </is>
      </c>
      <c r="D772" t="inlineStr">
        <is>
          <t>captured</t>
        </is>
      </c>
      <c r="E772" t="inlineStr">
        <is>
          <t>order_Jlq8EG4wD4V0Gh</t>
        </is>
      </c>
      <c r="G772" t="n">
        <v>0</v>
      </c>
      <c r="H772" t="inlineStr">
        <is>
          <t>card</t>
        </is>
      </c>
      <c r="I772" t="n">
        <v>0</v>
      </c>
      <c r="J772" t="n">
        <v>0</v>
      </c>
      <c r="L772" t="n">
        <v>1</v>
      </c>
      <c r="R772" t="inlineStr">
        <is>
          <t>customer525@example.com</t>
        </is>
      </c>
      <c r="S772">
        <f>+919835500381</f>
        <v/>
      </c>
      <c r="T772" t="inlineStr">
        <is>
          <t>[]</t>
        </is>
      </c>
      <c r="U772" t="n">
        <v>19.98</v>
      </c>
      <c r="V772" t="n">
        <v>3.6</v>
      </c>
      <c r="Y772" s="1" t="n">
        <v>46169.17061342593</v>
      </c>
    </row>
    <row r="773">
      <c r="A773" t="inlineStr">
        <is>
          <t>pay_qO9nFBtgKQtUSi</t>
        </is>
      </c>
      <c r="B773" t="n">
        <v>1499</v>
      </c>
      <c r="C773" t="inlineStr">
        <is>
          <t>INR</t>
        </is>
      </c>
      <c r="D773" t="inlineStr">
        <is>
          <t>captured</t>
        </is>
      </c>
      <c r="E773" t="inlineStr">
        <is>
          <t>order_LLcnFLupdA2a3c</t>
        </is>
      </c>
      <c r="G773" t="n">
        <v>0</v>
      </c>
      <c r="H773" t="inlineStr">
        <is>
          <t>upi</t>
        </is>
      </c>
      <c r="I773" t="n">
        <v>0</v>
      </c>
      <c r="J773" t="n">
        <v>0</v>
      </c>
      <c r="L773" t="n">
        <v>1</v>
      </c>
      <c r="R773" t="inlineStr">
        <is>
          <t>customer558@example.com</t>
        </is>
      </c>
      <c r="S773">
        <f>+919831707116</f>
        <v/>
      </c>
      <c r="T773" t="inlineStr">
        <is>
          <t>[]</t>
        </is>
      </c>
      <c r="U773" t="n">
        <v>29.98</v>
      </c>
      <c r="V773" t="n">
        <v>5.4</v>
      </c>
      <c r="Y773" s="1" t="n">
        <v>46150.34458333333</v>
      </c>
    </row>
    <row r="774">
      <c r="A774" t="inlineStr">
        <is>
          <t>pay_sLnmOD7gOZICDk</t>
        </is>
      </c>
      <c r="B774" t="n">
        <v>999</v>
      </c>
      <c r="C774" t="inlineStr">
        <is>
          <t>INR</t>
        </is>
      </c>
      <c r="D774" t="inlineStr">
        <is>
          <t>captured</t>
        </is>
      </c>
      <c r="E774" t="inlineStr">
        <is>
          <t>order_uhjSkKVAD1FSHb</t>
        </is>
      </c>
      <c r="G774" t="n">
        <v>0</v>
      </c>
      <c r="H774" t="inlineStr">
        <is>
          <t>netbanking</t>
        </is>
      </c>
      <c r="I774" t="n">
        <v>0</v>
      </c>
      <c r="J774" t="n">
        <v>0</v>
      </c>
      <c r="L774" t="n">
        <v>1</v>
      </c>
      <c r="R774" t="inlineStr">
        <is>
          <t>customer606@example.com</t>
        </is>
      </c>
      <c r="S774">
        <f>+919818229123</f>
        <v/>
      </c>
      <c r="T774" t="inlineStr">
        <is>
          <t>[]</t>
        </is>
      </c>
      <c r="U774" t="n">
        <v>19.98</v>
      </c>
      <c r="V774" t="n">
        <v>3.6</v>
      </c>
      <c r="Y774" s="1" t="n">
        <v>46163.43096064815</v>
      </c>
    </row>
    <row r="775">
      <c r="A775" t="inlineStr">
        <is>
          <t>pay_Lj9Qgxew8LH1hD</t>
        </is>
      </c>
      <c r="B775" t="n">
        <v>1799</v>
      </c>
      <c r="C775" t="inlineStr">
        <is>
          <t>INR</t>
        </is>
      </c>
      <c r="D775" t="inlineStr">
        <is>
          <t>failed</t>
        </is>
      </c>
      <c r="E775" t="inlineStr">
        <is>
          <t>order_xGB7A4DOmqX8tT</t>
        </is>
      </c>
      <c r="G775" t="n">
        <v>0</v>
      </c>
      <c r="H775" t="inlineStr">
        <is>
          <t>upi</t>
        </is>
      </c>
      <c r="I775" t="n">
        <v>0</v>
      </c>
      <c r="J775" t="n">
        <v>0</v>
      </c>
      <c r="L775" t="n">
        <v>0</v>
      </c>
      <c r="R775" t="inlineStr">
        <is>
          <t>customer475@example.com</t>
        </is>
      </c>
      <c r="S775">
        <f>+919843968981</f>
        <v/>
      </c>
      <c r="T775" t="inlineStr">
        <is>
          <t>[]</t>
        </is>
      </c>
      <c r="W775" t="inlineStr">
        <is>
          <t>BAD_REQUEST_ERROR</t>
        </is>
      </c>
      <c r="X775" t="inlineStr">
        <is>
          <t>UPI app declined the request</t>
        </is>
      </c>
      <c r="Y775" s="1" t="n">
        <v>46148.09199074074</v>
      </c>
    </row>
    <row r="776">
      <c r="A776" t="inlineStr">
        <is>
          <t>pay_jWlWBvN41VI8Hy</t>
        </is>
      </c>
      <c r="B776" t="n">
        <v>1799</v>
      </c>
      <c r="C776" t="inlineStr">
        <is>
          <t>INR</t>
        </is>
      </c>
      <c r="D776" t="inlineStr">
        <is>
          <t>captured</t>
        </is>
      </c>
      <c r="E776" t="inlineStr">
        <is>
          <t>order_xGB7A4DOmqX8tT</t>
        </is>
      </c>
      <c r="G776" t="n">
        <v>0</v>
      </c>
      <c r="H776" t="inlineStr">
        <is>
          <t>netbanking</t>
        </is>
      </c>
      <c r="I776" t="n">
        <v>0</v>
      </c>
      <c r="J776" t="n">
        <v>0</v>
      </c>
      <c r="L776" t="n">
        <v>1</v>
      </c>
      <c r="R776" t="inlineStr">
        <is>
          <t>customer79@example.com</t>
        </is>
      </c>
      <c r="S776">
        <f>+919851900636</f>
        <v/>
      </c>
      <c r="T776" t="inlineStr">
        <is>
          <t>[]</t>
        </is>
      </c>
      <c r="U776" t="n">
        <v>35.98</v>
      </c>
      <c r="V776" t="n">
        <v>6.48</v>
      </c>
      <c r="Y776" s="1" t="n">
        <v>46148.09568287037</v>
      </c>
    </row>
    <row r="777">
      <c r="A777" t="inlineStr">
        <is>
          <t>pay_BqzyPblWBDyiOo</t>
        </is>
      </c>
      <c r="B777" t="n">
        <v>3999</v>
      </c>
      <c r="C777" t="inlineStr">
        <is>
          <t>INR</t>
        </is>
      </c>
      <c r="D777" t="inlineStr">
        <is>
          <t>captured</t>
        </is>
      </c>
      <c r="E777" t="inlineStr">
        <is>
          <t>order_thmQluqF5zqQL0</t>
        </is>
      </c>
      <c r="G777" t="n">
        <v>0</v>
      </c>
      <c r="H777" t="inlineStr">
        <is>
          <t>card</t>
        </is>
      </c>
      <c r="I777" t="n">
        <v>0</v>
      </c>
      <c r="J777" t="n">
        <v>0</v>
      </c>
      <c r="L777" t="n">
        <v>1</v>
      </c>
      <c r="R777" t="inlineStr">
        <is>
          <t>customer715@example.com</t>
        </is>
      </c>
      <c r="S777">
        <f>+919884683573</f>
        <v/>
      </c>
      <c r="T777" t="inlineStr">
        <is>
          <t>[]</t>
        </is>
      </c>
      <c r="U777" t="n">
        <v>79.98</v>
      </c>
      <c r="V777" t="n">
        <v>14.4</v>
      </c>
      <c r="Y777" s="1" t="n">
        <v>46146.31068287037</v>
      </c>
    </row>
    <row r="778">
      <c r="A778" t="inlineStr">
        <is>
          <t>pay_zvshGENbdbknYY</t>
        </is>
      </c>
      <c r="B778" t="n">
        <v>1499</v>
      </c>
      <c r="C778" t="inlineStr">
        <is>
          <t>INR</t>
        </is>
      </c>
      <c r="D778" t="inlineStr">
        <is>
          <t>captured</t>
        </is>
      </c>
      <c r="E778" t="inlineStr">
        <is>
          <t>order_QSsT9g7JekkTzY</t>
        </is>
      </c>
      <c r="G778" t="n">
        <v>0</v>
      </c>
      <c r="H778" t="inlineStr">
        <is>
          <t>card</t>
        </is>
      </c>
      <c r="I778" t="n">
        <v>0</v>
      </c>
      <c r="J778" t="n">
        <v>0</v>
      </c>
      <c r="L778" t="n">
        <v>1</v>
      </c>
      <c r="R778" t="inlineStr">
        <is>
          <t>customer379@example.com</t>
        </is>
      </c>
      <c r="S778">
        <f>+919828905142</f>
        <v/>
      </c>
      <c r="T778" t="inlineStr">
        <is>
          <t>[]</t>
        </is>
      </c>
      <c r="U778" t="n">
        <v>29.98</v>
      </c>
      <c r="V778" t="n">
        <v>5.4</v>
      </c>
      <c r="Y778" s="1" t="n">
        <v>46170.61859953704</v>
      </c>
    </row>
    <row r="779">
      <c r="A779" t="inlineStr">
        <is>
          <t>pay_Tm7TqLoZ1ltctt</t>
        </is>
      </c>
      <c r="B779" t="n">
        <v>499</v>
      </c>
      <c r="C779" t="inlineStr">
        <is>
          <t>INR</t>
        </is>
      </c>
      <c r="D779" t="inlineStr">
        <is>
          <t>captured</t>
        </is>
      </c>
      <c r="E779" t="inlineStr">
        <is>
          <t>order_g1M7kgAaqi8UYl</t>
        </is>
      </c>
      <c r="G779" t="n">
        <v>0</v>
      </c>
      <c r="H779" t="inlineStr">
        <is>
          <t>upi</t>
        </is>
      </c>
      <c r="I779" t="n">
        <v>0</v>
      </c>
      <c r="J779" t="n">
        <v>0</v>
      </c>
      <c r="L779" t="n">
        <v>1</v>
      </c>
      <c r="R779" t="inlineStr">
        <is>
          <t>customer387@example.com</t>
        </is>
      </c>
      <c r="S779">
        <f>+919872178452</f>
        <v/>
      </c>
      <c r="T779" t="inlineStr">
        <is>
          <t>[]</t>
        </is>
      </c>
      <c r="U779" t="n">
        <v>9.98</v>
      </c>
      <c r="V779" t="n">
        <v>1.8</v>
      </c>
      <c r="Y779" s="1" t="n">
        <v>46148.51789351852</v>
      </c>
    </row>
    <row r="780">
      <c r="A780" t="inlineStr">
        <is>
          <t>pay_nxX3SCRehRUMy9</t>
        </is>
      </c>
      <c r="B780" t="n">
        <v>3999</v>
      </c>
      <c r="C780" t="inlineStr">
        <is>
          <t>INR</t>
        </is>
      </c>
      <c r="D780" t="inlineStr">
        <is>
          <t>captured</t>
        </is>
      </c>
      <c r="E780" t="inlineStr">
        <is>
          <t>order_meiRpN6rfqWEPY</t>
        </is>
      </c>
      <c r="G780" t="n">
        <v>0</v>
      </c>
      <c r="H780" t="inlineStr">
        <is>
          <t>upi</t>
        </is>
      </c>
      <c r="I780" t="n">
        <v>0</v>
      </c>
      <c r="J780" t="n">
        <v>0</v>
      </c>
      <c r="L780" t="n">
        <v>1</v>
      </c>
      <c r="R780" t="inlineStr">
        <is>
          <t>customer87@example.com</t>
        </is>
      </c>
      <c r="S780">
        <f>+919861048459</f>
        <v/>
      </c>
      <c r="T780" t="inlineStr">
        <is>
          <t>[]</t>
        </is>
      </c>
      <c r="U780" t="n">
        <v>79.98</v>
      </c>
      <c r="V780" t="n">
        <v>14.4</v>
      </c>
      <c r="Y780" s="1" t="n">
        <v>46170.73563657407</v>
      </c>
    </row>
    <row r="781">
      <c r="A781" t="inlineStr">
        <is>
          <t>pay_Fh44Kc3Y2k1WVo</t>
        </is>
      </c>
      <c r="B781" t="n">
        <v>1499</v>
      </c>
      <c r="C781" t="inlineStr">
        <is>
          <t>INR</t>
        </is>
      </c>
      <c r="D781" t="inlineStr">
        <is>
          <t>captured</t>
        </is>
      </c>
      <c r="E781" t="inlineStr">
        <is>
          <t>order_LohHv71RHpXYSM</t>
        </is>
      </c>
      <c r="G781" t="n">
        <v>0</v>
      </c>
      <c r="H781" t="inlineStr">
        <is>
          <t>upi</t>
        </is>
      </c>
      <c r="I781" t="n">
        <v>0</v>
      </c>
      <c r="J781" t="n">
        <v>0</v>
      </c>
      <c r="L781" t="n">
        <v>1</v>
      </c>
      <c r="R781" t="inlineStr">
        <is>
          <t>customer267@example.com</t>
        </is>
      </c>
      <c r="S781">
        <f>+919881826643</f>
        <v/>
      </c>
      <c r="T781" t="inlineStr">
        <is>
          <t>[]</t>
        </is>
      </c>
      <c r="U781" t="n">
        <v>29.98</v>
      </c>
      <c r="V781" t="n">
        <v>5.4</v>
      </c>
      <c r="Y781" s="1" t="n">
        <v>46161.56489583333</v>
      </c>
    </row>
    <row r="782">
      <c r="A782" t="inlineStr">
        <is>
          <t>pay_wLWPMSRgi2gr5x</t>
        </is>
      </c>
      <c r="B782" t="n">
        <v>2499</v>
      </c>
      <c r="C782" t="inlineStr">
        <is>
          <t>INR</t>
        </is>
      </c>
      <c r="D782" t="inlineStr">
        <is>
          <t>captured</t>
        </is>
      </c>
      <c r="E782" t="inlineStr">
        <is>
          <t>order_tAQZosmnWcEDOG</t>
        </is>
      </c>
      <c r="G782" t="n">
        <v>0</v>
      </c>
      <c r="H782" t="inlineStr">
        <is>
          <t>upi</t>
        </is>
      </c>
      <c r="I782" t="n">
        <v>0</v>
      </c>
      <c r="J782" t="n">
        <v>0</v>
      </c>
      <c r="L782" t="n">
        <v>1</v>
      </c>
      <c r="R782" t="inlineStr">
        <is>
          <t>customer287@example.com</t>
        </is>
      </c>
      <c r="S782">
        <f>+919876312836</f>
        <v/>
      </c>
      <c r="T782" t="inlineStr">
        <is>
          <t>[]</t>
        </is>
      </c>
      <c r="U782" t="n">
        <v>49.98</v>
      </c>
      <c r="V782" t="n">
        <v>9</v>
      </c>
      <c r="Y782" s="1" t="n">
        <v>46144.67511574074</v>
      </c>
    </row>
    <row r="783">
      <c r="A783" t="inlineStr">
        <is>
          <t>pay_Xl4b5otND92Vsm</t>
        </is>
      </c>
      <c r="B783" t="n">
        <v>3999</v>
      </c>
      <c r="C783" t="inlineStr">
        <is>
          <t>INR</t>
        </is>
      </c>
      <c r="D783" t="inlineStr">
        <is>
          <t>captured</t>
        </is>
      </c>
      <c r="E783" t="inlineStr">
        <is>
          <t>order_gq0JckO9ORRnzm</t>
        </is>
      </c>
      <c r="G783" t="n">
        <v>0</v>
      </c>
      <c r="H783" t="inlineStr">
        <is>
          <t>card</t>
        </is>
      </c>
      <c r="I783" t="n">
        <v>0</v>
      </c>
      <c r="J783" t="n">
        <v>0</v>
      </c>
      <c r="L783" t="n">
        <v>1</v>
      </c>
      <c r="R783" t="inlineStr">
        <is>
          <t>customer774@example.com</t>
        </is>
      </c>
      <c r="S783">
        <f>+919884922792</f>
        <v/>
      </c>
      <c r="T783" t="inlineStr">
        <is>
          <t>[]</t>
        </is>
      </c>
      <c r="U783" t="n">
        <v>79.98</v>
      </c>
      <c r="V783" t="n">
        <v>14.4</v>
      </c>
      <c r="Y783" s="1" t="n">
        <v>46149.84503472222</v>
      </c>
    </row>
    <row r="784">
      <c r="A784" t="inlineStr">
        <is>
          <t>pay_YizqFfQ5r4PWrw</t>
        </is>
      </c>
      <c r="B784" t="n">
        <v>3999</v>
      </c>
      <c r="C784" t="inlineStr">
        <is>
          <t>INR</t>
        </is>
      </c>
      <c r="D784" t="inlineStr">
        <is>
          <t>failed</t>
        </is>
      </c>
      <c r="E784" t="inlineStr">
        <is>
          <t>order_DWTkDN5x7guFNm</t>
        </is>
      </c>
      <c r="G784" t="n">
        <v>0</v>
      </c>
      <c r="H784" t="inlineStr">
        <is>
          <t>upi</t>
        </is>
      </c>
      <c r="I784" t="n">
        <v>0</v>
      </c>
      <c r="J784" t="n">
        <v>0</v>
      </c>
      <c r="L784" t="n">
        <v>0</v>
      </c>
      <c r="R784" t="inlineStr">
        <is>
          <t>customer348@example.com</t>
        </is>
      </c>
      <c r="S784">
        <f>+919855932422</f>
        <v/>
      </c>
      <c r="T784" t="inlineStr">
        <is>
          <t>[]</t>
        </is>
      </c>
      <c r="W784" t="inlineStr">
        <is>
          <t>BAD_REQUEST_ERROR</t>
        </is>
      </c>
      <c r="X784" t="inlineStr">
        <is>
          <t>UPI app declined the request</t>
        </is>
      </c>
      <c r="Y784" s="1" t="n">
        <v>46162.35428240741</v>
      </c>
    </row>
    <row r="785">
      <c r="A785" t="inlineStr">
        <is>
          <t>pay_KY6V8wcwpJ9Ret</t>
        </is>
      </c>
      <c r="B785" t="n">
        <v>3999</v>
      </c>
      <c r="C785" t="inlineStr">
        <is>
          <t>INR</t>
        </is>
      </c>
      <c r="D785" t="inlineStr">
        <is>
          <t>captured</t>
        </is>
      </c>
      <c r="E785" t="inlineStr">
        <is>
          <t>order_z1XH03XnYNHGOr</t>
        </is>
      </c>
      <c r="G785" t="n">
        <v>0</v>
      </c>
      <c r="H785" t="inlineStr">
        <is>
          <t>netbanking</t>
        </is>
      </c>
      <c r="I785" t="n">
        <v>0</v>
      </c>
      <c r="J785" t="n">
        <v>0</v>
      </c>
      <c r="L785" t="n">
        <v>1</v>
      </c>
      <c r="R785" t="inlineStr">
        <is>
          <t>customer617@example.com</t>
        </is>
      </c>
      <c r="S785">
        <f>+919869300533</f>
        <v/>
      </c>
      <c r="T785" t="inlineStr">
        <is>
          <t>[]</t>
        </is>
      </c>
      <c r="U785" t="n">
        <v>79.98</v>
      </c>
      <c r="V785" t="n">
        <v>14.4</v>
      </c>
      <c r="Y785" s="1" t="n">
        <v>46143.78438657407</v>
      </c>
    </row>
    <row r="786">
      <c r="A786" t="inlineStr">
        <is>
          <t>pay_T42XQFL2Q9KzXD</t>
        </is>
      </c>
      <c r="B786" t="n">
        <v>1499</v>
      </c>
      <c r="C786" t="inlineStr">
        <is>
          <t>INR</t>
        </is>
      </c>
      <c r="D786" t="inlineStr">
        <is>
          <t>captured</t>
        </is>
      </c>
      <c r="E786" t="inlineStr">
        <is>
          <t>order_LUCRd8QzImS17Z</t>
        </is>
      </c>
      <c r="G786" t="n">
        <v>0</v>
      </c>
      <c r="H786" t="inlineStr">
        <is>
          <t>upi</t>
        </is>
      </c>
      <c r="I786" t="n">
        <v>0</v>
      </c>
      <c r="J786" t="n">
        <v>0</v>
      </c>
      <c r="L786" t="n">
        <v>1</v>
      </c>
      <c r="R786" t="inlineStr">
        <is>
          <t>customer485@example.com</t>
        </is>
      </c>
      <c r="S786">
        <f>+919856793350</f>
        <v/>
      </c>
      <c r="T786" t="inlineStr">
        <is>
          <t>[]</t>
        </is>
      </c>
      <c r="U786" t="n">
        <v>29.98</v>
      </c>
      <c r="V786" t="n">
        <v>5.4</v>
      </c>
      <c r="Y786" s="1" t="n">
        <v>46154.64634259259</v>
      </c>
    </row>
    <row r="787">
      <c r="A787" t="inlineStr">
        <is>
          <t>pay_oew7sSPxZxbP90</t>
        </is>
      </c>
      <c r="B787" t="n">
        <v>499</v>
      </c>
      <c r="C787" t="inlineStr">
        <is>
          <t>INR</t>
        </is>
      </c>
      <c r="D787" t="inlineStr">
        <is>
          <t>captured</t>
        </is>
      </c>
      <c r="E787" t="inlineStr">
        <is>
          <t>order_LUkp1HVbKF8QtV</t>
        </is>
      </c>
      <c r="G787" t="n">
        <v>0</v>
      </c>
      <c r="H787" t="inlineStr">
        <is>
          <t>upi</t>
        </is>
      </c>
      <c r="I787" t="n">
        <v>0</v>
      </c>
      <c r="J787" t="n">
        <v>0</v>
      </c>
      <c r="L787" t="n">
        <v>1</v>
      </c>
      <c r="R787" t="inlineStr">
        <is>
          <t>customer402@example.com</t>
        </is>
      </c>
      <c r="S787">
        <f>+919884627804</f>
        <v/>
      </c>
      <c r="T787" t="inlineStr">
        <is>
          <t>[]</t>
        </is>
      </c>
      <c r="U787" t="n">
        <v>9.98</v>
      </c>
      <c r="V787" t="n">
        <v>1.8</v>
      </c>
      <c r="Y787" s="1" t="n">
        <v>46157.874375</v>
      </c>
    </row>
    <row r="788">
      <c r="A788" t="inlineStr">
        <is>
          <t>pay_JQXqS3o0n85UKS</t>
        </is>
      </c>
      <c r="B788" t="n">
        <v>2499</v>
      </c>
      <c r="C788" t="inlineStr">
        <is>
          <t>INR</t>
        </is>
      </c>
      <c r="D788" t="inlineStr">
        <is>
          <t>failed</t>
        </is>
      </c>
      <c r="E788" t="inlineStr">
        <is>
          <t>order_vqwAnKRqQjrSTw</t>
        </is>
      </c>
      <c r="G788" t="n">
        <v>0</v>
      </c>
      <c r="H788" t="inlineStr">
        <is>
          <t>card</t>
        </is>
      </c>
      <c r="I788" t="n">
        <v>0</v>
      </c>
      <c r="J788" t="n">
        <v>0</v>
      </c>
      <c r="L788" t="n">
        <v>0</v>
      </c>
      <c r="R788" t="inlineStr">
        <is>
          <t>customer198@example.com</t>
        </is>
      </c>
      <c r="S788">
        <f>+919836572506</f>
        <v/>
      </c>
      <c r="T788" t="inlineStr">
        <is>
          <t>[]</t>
        </is>
      </c>
      <c r="W788" t="inlineStr">
        <is>
          <t>BAD_REQUEST_ERROR</t>
        </is>
      </c>
      <c r="X788" t="inlineStr">
        <is>
          <t>Payment failed due to incorrect OTP</t>
        </is>
      </c>
      <c r="Y788" s="1" t="n">
        <v>46169.70932870371</v>
      </c>
    </row>
    <row r="789">
      <c r="A789" t="inlineStr">
        <is>
          <t>pay_Jf480wQ8jTyhuW</t>
        </is>
      </c>
      <c r="B789" t="n">
        <v>2499</v>
      </c>
      <c r="C789" t="inlineStr">
        <is>
          <t>INR</t>
        </is>
      </c>
      <c r="D789" t="inlineStr">
        <is>
          <t>captured</t>
        </is>
      </c>
      <c r="E789" t="inlineStr">
        <is>
          <t>order_vqwAnKRqQjrSTw</t>
        </is>
      </c>
      <c r="G789" t="n">
        <v>0</v>
      </c>
      <c r="H789" t="inlineStr">
        <is>
          <t>card</t>
        </is>
      </c>
      <c r="I789" t="n">
        <v>0</v>
      </c>
      <c r="J789" t="n">
        <v>0</v>
      </c>
      <c r="L789" t="n">
        <v>1</v>
      </c>
      <c r="R789" t="inlineStr">
        <is>
          <t>customer774@example.com</t>
        </is>
      </c>
      <c r="S789">
        <f>+919824306157</f>
        <v/>
      </c>
      <c r="T789" t="inlineStr">
        <is>
          <t>[]</t>
        </is>
      </c>
      <c r="U789" t="n">
        <v>49.98</v>
      </c>
      <c r="V789" t="n">
        <v>9</v>
      </c>
      <c r="Y789" s="1" t="n">
        <v>46169.70956018518</v>
      </c>
    </row>
    <row r="790">
      <c r="A790" t="inlineStr">
        <is>
          <t>pay_H7xRiTrYorjTMn</t>
        </is>
      </c>
      <c r="B790" t="n">
        <v>2499</v>
      </c>
      <c r="C790" t="inlineStr">
        <is>
          <t>INR</t>
        </is>
      </c>
      <c r="D790" t="inlineStr">
        <is>
          <t>failed</t>
        </is>
      </c>
      <c r="E790" t="inlineStr">
        <is>
          <t>order_pMPct1mEx0kmIO</t>
        </is>
      </c>
      <c r="G790" t="n">
        <v>0</v>
      </c>
      <c r="H790" t="inlineStr">
        <is>
          <t>upi</t>
        </is>
      </c>
      <c r="I790" t="n">
        <v>0</v>
      </c>
      <c r="J790" t="n">
        <v>0</v>
      </c>
      <c r="L790" t="n">
        <v>0</v>
      </c>
      <c r="R790" t="inlineStr">
        <is>
          <t>customer95@example.com</t>
        </is>
      </c>
      <c r="S790">
        <f>+919841827334</f>
        <v/>
      </c>
      <c r="T790" t="inlineStr">
        <is>
          <t>[]</t>
        </is>
      </c>
      <c r="W790" t="inlineStr">
        <is>
          <t>BAD_REQUEST_ERROR</t>
        </is>
      </c>
      <c r="X790" t="inlineStr">
        <is>
          <t>UPI app declined the request</t>
        </is>
      </c>
      <c r="Y790" s="1" t="n">
        <v>46145.0280324074</v>
      </c>
    </row>
    <row r="791">
      <c r="A791" t="inlineStr">
        <is>
          <t>pay_DdsqLbydz00JzX</t>
        </is>
      </c>
      <c r="B791" t="n">
        <v>1499</v>
      </c>
      <c r="C791" t="inlineStr">
        <is>
          <t>INR</t>
        </is>
      </c>
      <c r="D791" t="inlineStr">
        <is>
          <t>captured</t>
        </is>
      </c>
      <c r="E791" t="inlineStr">
        <is>
          <t>order_YbWJrljTR6Zg1Q</t>
        </is>
      </c>
      <c r="G791" t="n">
        <v>0</v>
      </c>
      <c r="H791" t="inlineStr">
        <is>
          <t>upi</t>
        </is>
      </c>
      <c r="I791" t="n">
        <v>0</v>
      </c>
      <c r="J791" t="n">
        <v>0</v>
      </c>
      <c r="L791" t="n">
        <v>1</v>
      </c>
      <c r="R791" t="inlineStr">
        <is>
          <t>customer112@example.com</t>
        </is>
      </c>
      <c r="S791">
        <f>+919897277478</f>
        <v/>
      </c>
      <c r="T791" t="inlineStr">
        <is>
          <t>[]</t>
        </is>
      </c>
      <c r="U791" t="n">
        <v>29.98</v>
      </c>
      <c r="V791" t="n">
        <v>5.4</v>
      </c>
      <c r="Y791" s="1" t="n">
        <v>46157.66396990741</v>
      </c>
    </row>
    <row r="792">
      <c r="A792" t="inlineStr">
        <is>
          <t>pay_iS9Fj6xb5d4SQe</t>
        </is>
      </c>
      <c r="B792" t="n">
        <v>1499</v>
      </c>
      <c r="C792" t="inlineStr">
        <is>
          <t>INR</t>
        </is>
      </c>
      <c r="D792" t="inlineStr">
        <is>
          <t>captured</t>
        </is>
      </c>
      <c r="E792" t="inlineStr">
        <is>
          <t>order_aaXF0HpeQm4RG8</t>
        </is>
      </c>
      <c r="G792" t="n">
        <v>0</v>
      </c>
      <c r="H792" t="inlineStr">
        <is>
          <t>upi</t>
        </is>
      </c>
      <c r="I792" t="n">
        <v>0</v>
      </c>
      <c r="J792" t="n">
        <v>0</v>
      </c>
      <c r="L792" t="n">
        <v>1</v>
      </c>
      <c r="R792" t="inlineStr">
        <is>
          <t>customer363@example.com</t>
        </is>
      </c>
      <c r="S792">
        <f>+919826822826</f>
        <v/>
      </c>
      <c r="T792" t="inlineStr">
        <is>
          <t>[]</t>
        </is>
      </c>
      <c r="U792" t="n">
        <v>29.98</v>
      </c>
      <c r="V792" t="n">
        <v>5.4</v>
      </c>
      <c r="Y792" s="1" t="n">
        <v>46152.23327546296</v>
      </c>
    </row>
    <row r="793">
      <c r="A793" t="inlineStr">
        <is>
          <t>pay_Q3Fr2jARqyO8dK</t>
        </is>
      </c>
      <c r="B793" t="n">
        <v>1799</v>
      </c>
      <c r="C793" t="inlineStr">
        <is>
          <t>INR</t>
        </is>
      </c>
      <c r="D793" t="inlineStr">
        <is>
          <t>failed</t>
        </is>
      </c>
      <c r="E793" t="inlineStr">
        <is>
          <t>order_1ViRpBSDRUwvbe</t>
        </is>
      </c>
      <c r="G793" t="n">
        <v>0</v>
      </c>
      <c r="H793" t="inlineStr">
        <is>
          <t>upi</t>
        </is>
      </c>
      <c r="I793" t="n">
        <v>0</v>
      </c>
      <c r="J793" t="n">
        <v>0</v>
      </c>
      <c r="L793" t="n">
        <v>0</v>
      </c>
      <c r="R793" t="inlineStr">
        <is>
          <t>customer221@example.com</t>
        </is>
      </c>
      <c r="S793">
        <f>+919873021417</f>
        <v/>
      </c>
      <c r="T793" t="inlineStr">
        <is>
          <t>[]</t>
        </is>
      </c>
      <c r="W793" t="inlineStr">
        <is>
          <t>BAD_REQUEST_ERROR</t>
        </is>
      </c>
      <c r="X793" t="inlineStr">
        <is>
          <t>UPI app declined the request</t>
        </is>
      </c>
      <c r="Y793" s="1" t="n">
        <v>46148.94086805556</v>
      </c>
    </row>
    <row r="794">
      <c r="A794" t="inlineStr">
        <is>
          <t>pay_67mTx2JSdUvnjk</t>
        </is>
      </c>
      <c r="B794" t="n">
        <v>1799</v>
      </c>
      <c r="C794" t="inlineStr">
        <is>
          <t>INR</t>
        </is>
      </c>
      <c r="D794" t="inlineStr">
        <is>
          <t>failed</t>
        </is>
      </c>
      <c r="E794" t="inlineStr">
        <is>
          <t>order_uJZA3EayFAG6Kb</t>
        </is>
      </c>
      <c r="G794" t="n">
        <v>0</v>
      </c>
      <c r="H794" t="inlineStr">
        <is>
          <t>card</t>
        </is>
      </c>
      <c r="I794" t="n">
        <v>0</v>
      </c>
      <c r="J794" t="n">
        <v>0</v>
      </c>
      <c r="L794" t="n">
        <v>0</v>
      </c>
      <c r="R794" t="inlineStr">
        <is>
          <t>customer279@example.com</t>
        </is>
      </c>
      <c r="S794">
        <f>+919815998407</f>
        <v/>
      </c>
      <c r="T794" t="inlineStr">
        <is>
          <t>[]</t>
        </is>
      </c>
      <c r="W794" t="inlineStr">
        <is>
          <t>BAD_REQUEST_ERROR</t>
        </is>
      </c>
      <c r="X794" t="inlineStr">
        <is>
          <t>Payment cancelled by user</t>
        </is>
      </c>
      <c r="Y794" s="1" t="n">
        <v>46144.02276620371</v>
      </c>
    </row>
    <row r="795">
      <c r="A795" t="inlineStr">
        <is>
          <t>pay_LDBphlawNryWLi</t>
        </is>
      </c>
      <c r="B795" t="n">
        <v>1499</v>
      </c>
      <c r="C795" t="inlineStr">
        <is>
          <t>INR</t>
        </is>
      </c>
      <c r="D795" t="inlineStr">
        <is>
          <t>failed</t>
        </is>
      </c>
      <c r="E795" t="inlineStr">
        <is>
          <t>order_hUQDuFH36TjGlk</t>
        </is>
      </c>
      <c r="G795" t="n">
        <v>0</v>
      </c>
      <c r="H795" t="inlineStr">
        <is>
          <t>upi</t>
        </is>
      </c>
      <c r="I795" t="n">
        <v>0</v>
      </c>
      <c r="J795" t="n">
        <v>0</v>
      </c>
      <c r="L795" t="n">
        <v>0</v>
      </c>
      <c r="R795" t="inlineStr">
        <is>
          <t>customer245@example.com</t>
        </is>
      </c>
      <c r="S795">
        <f>+919888272555</f>
        <v/>
      </c>
      <c r="T795" t="inlineStr">
        <is>
          <t>[]</t>
        </is>
      </c>
      <c r="W795" t="inlineStr">
        <is>
          <t>BAD_REQUEST_ERROR</t>
        </is>
      </c>
      <c r="X795" t="inlineStr">
        <is>
          <t>UPI app declined the request</t>
        </is>
      </c>
      <c r="Y795" s="1" t="n">
        <v>46161.28394675926</v>
      </c>
    </row>
    <row r="796">
      <c r="A796" t="inlineStr">
        <is>
          <t>pay_f05LRemjULewsp</t>
        </is>
      </c>
      <c r="B796" t="n">
        <v>1799</v>
      </c>
      <c r="C796" t="inlineStr">
        <is>
          <t>INR</t>
        </is>
      </c>
      <c r="D796" t="inlineStr">
        <is>
          <t>captured</t>
        </is>
      </c>
      <c r="E796" t="inlineStr">
        <is>
          <t>order_eAQPut4BqaxgQS</t>
        </is>
      </c>
      <c r="G796" t="n">
        <v>0</v>
      </c>
      <c r="H796" t="inlineStr">
        <is>
          <t>upi</t>
        </is>
      </c>
      <c r="I796" t="n">
        <v>0</v>
      </c>
      <c r="J796" t="n">
        <v>0</v>
      </c>
      <c r="L796" t="n">
        <v>1</v>
      </c>
      <c r="R796" t="inlineStr">
        <is>
          <t>customer545@example.com</t>
        </is>
      </c>
      <c r="S796">
        <f>+919815197511</f>
        <v/>
      </c>
      <c r="T796" t="inlineStr">
        <is>
          <t>[]</t>
        </is>
      </c>
      <c r="U796" t="n">
        <v>35.98</v>
      </c>
      <c r="V796" t="n">
        <v>6.48</v>
      </c>
      <c r="Y796" s="1" t="n">
        <v>46168.06063657408</v>
      </c>
    </row>
    <row r="797">
      <c r="A797" t="inlineStr">
        <is>
          <t>pay_Gj1o9dBfqxcaEe</t>
        </is>
      </c>
      <c r="B797" t="n">
        <v>2499</v>
      </c>
      <c r="C797" t="inlineStr">
        <is>
          <t>INR</t>
        </is>
      </c>
      <c r="D797" t="inlineStr">
        <is>
          <t>captured</t>
        </is>
      </c>
      <c r="E797" t="inlineStr">
        <is>
          <t>order_cmEpTrrfFnH4ii</t>
        </is>
      </c>
      <c r="G797" t="n">
        <v>0</v>
      </c>
      <c r="H797" t="inlineStr">
        <is>
          <t>upi</t>
        </is>
      </c>
      <c r="I797" t="n">
        <v>0</v>
      </c>
      <c r="J797" t="n">
        <v>0</v>
      </c>
      <c r="L797" t="n">
        <v>1</v>
      </c>
      <c r="R797" t="inlineStr">
        <is>
          <t>customer470@example.com</t>
        </is>
      </c>
      <c r="S797">
        <f>+919842407228</f>
        <v/>
      </c>
      <c r="T797" t="inlineStr">
        <is>
          <t>[]</t>
        </is>
      </c>
      <c r="U797" t="n">
        <v>49.98</v>
      </c>
      <c r="V797" t="n">
        <v>9</v>
      </c>
      <c r="Y797" s="1" t="n">
        <v>46151.2728587963</v>
      </c>
    </row>
    <row r="798">
      <c r="A798" t="inlineStr">
        <is>
          <t>pay_04iSolSlOflSEB</t>
        </is>
      </c>
      <c r="B798" t="n">
        <v>499</v>
      </c>
      <c r="C798" t="inlineStr">
        <is>
          <t>INR</t>
        </is>
      </c>
      <c r="D798" t="inlineStr">
        <is>
          <t>captured</t>
        </is>
      </c>
      <c r="E798" t="inlineStr">
        <is>
          <t>order_ePSnWha1OoXrZ1</t>
        </is>
      </c>
      <c r="G798" t="n">
        <v>0</v>
      </c>
      <c r="H798" t="inlineStr">
        <is>
          <t>upi</t>
        </is>
      </c>
      <c r="I798" t="n">
        <v>0</v>
      </c>
      <c r="J798" t="n">
        <v>0</v>
      </c>
      <c r="L798" t="n">
        <v>1</v>
      </c>
      <c r="R798" t="inlineStr">
        <is>
          <t>customer182@example.com</t>
        </is>
      </c>
      <c r="S798">
        <f>+919893975055</f>
        <v/>
      </c>
      <c r="T798" t="inlineStr">
        <is>
          <t>[]</t>
        </is>
      </c>
      <c r="U798" t="n">
        <v>9.98</v>
      </c>
      <c r="V798" t="n">
        <v>1.8</v>
      </c>
      <c r="Y798" s="1" t="n">
        <v>46148.88583333333</v>
      </c>
    </row>
    <row r="799">
      <c r="A799" t="inlineStr">
        <is>
          <t>pay_B5zPCE2vFdtrFK</t>
        </is>
      </c>
      <c r="B799" t="n">
        <v>1799</v>
      </c>
      <c r="C799" t="inlineStr">
        <is>
          <t>INR</t>
        </is>
      </c>
      <c r="D799" t="inlineStr">
        <is>
          <t>captured</t>
        </is>
      </c>
      <c r="E799" t="inlineStr">
        <is>
          <t>order_naadA2RDFpYUYA</t>
        </is>
      </c>
      <c r="G799" t="n">
        <v>0</v>
      </c>
      <c r="H799" t="inlineStr">
        <is>
          <t>card</t>
        </is>
      </c>
      <c r="I799" t="n">
        <v>0</v>
      </c>
      <c r="J799" t="n">
        <v>0</v>
      </c>
      <c r="L799" t="n">
        <v>1</v>
      </c>
      <c r="R799" t="inlineStr">
        <is>
          <t>customer184@example.com</t>
        </is>
      </c>
      <c r="S799">
        <f>+919882490539</f>
        <v/>
      </c>
      <c r="T799" t="inlineStr">
        <is>
          <t>[]</t>
        </is>
      </c>
      <c r="U799" t="n">
        <v>35.98</v>
      </c>
      <c r="V799" t="n">
        <v>6.48</v>
      </c>
      <c r="Y799" s="1" t="n">
        <v>46173.55209490741</v>
      </c>
    </row>
    <row r="800">
      <c r="A800" t="inlineStr">
        <is>
          <t>pay_WP294tYc6C0k8W</t>
        </is>
      </c>
      <c r="B800" t="n">
        <v>499</v>
      </c>
      <c r="C800" t="inlineStr">
        <is>
          <t>INR</t>
        </is>
      </c>
      <c r="D800" t="inlineStr">
        <is>
          <t>captured</t>
        </is>
      </c>
      <c r="E800" t="inlineStr">
        <is>
          <t>order_p4CrY461Pv3lbO</t>
        </is>
      </c>
      <c r="G800" t="n">
        <v>0</v>
      </c>
      <c r="H800" t="inlineStr">
        <is>
          <t>upi</t>
        </is>
      </c>
      <c r="I800" t="n">
        <v>0</v>
      </c>
      <c r="J800" t="n">
        <v>0</v>
      </c>
      <c r="L800" t="n">
        <v>1</v>
      </c>
      <c r="R800" t="inlineStr">
        <is>
          <t>customer213@example.com</t>
        </is>
      </c>
      <c r="S800">
        <f>+919826892776</f>
        <v/>
      </c>
      <c r="T800" t="inlineStr">
        <is>
          <t>[]</t>
        </is>
      </c>
      <c r="U800" t="n">
        <v>9.98</v>
      </c>
      <c r="V800" t="n">
        <v>1.8</v>
      </c>
      <c r="Y800" s="1" t="n">
        <v>46166.18983796296</v>
      </c>
    </row>
    <row r="801">
      <c r="A801" t="inlineStr">
        <is>
          <t>pay_JBft656JSZgLKI</t>
        </is>
      </c>
      <c r="B801" t="n">
        <v>1499</v>
      </c>
      <c r="C801" t="inlineStr">
        <is>
          <t>INR</t>
        </is>
      </c>
      <c r="D801" t="inlineStr">
        <is>
          <t>captured</t>
        </is>
      </c>
      <c r="E801" t="inlineStr">
        <is>
          <t>order_9Y4PtEJr0N8bZ2</t>
        </is>
      </c>
      <c r="G801" t="n">
        <v>0</v>
      </c>
      <c r="H801" t="inlineStr">
        <is>
          <t>upi</t>
        </is>
      </c>
      <c r="I801" t="n">
        <v>0</v>
      </c>
      <c r="J801" t="n">
        <v>0</v>
      </c>
      <c r="L801" t="n">
        <v>1</v>
      </c>
      <c r="R801" t="inlineStr">
        <is>
          <t>customer353@example.com</t>
        </is>
      </c>
      <c r="S801">
        <f>+919887403612</f>
        <v/>
      </c>
      <c r="T801" t="inlineStr">
        <is>
          <t>[]</t>
        </is>
      </c>
      <c r="U801" t="n">
        <v>29.98</v>
      </c>
      <c r="V801" t="n">
        <v>5.4</v>
      </c>
      <c r="Y801" s="1" t="n">
        <v>46155.4884375</v>
      </c>
    </row>
    <row r="802">
      <c r="A802" t="inlineStr">
        <is>
          <t>pay_XxkKlgKb69Zjrs</t>
        </is>
      </c>
      <c r="B802" t="n">
        <v>3999</v>
      </c>
      <c r="C802" t="inlineStr">
        <is>
          <t>INR</t>
        </is>
      </c>
      <c r="D802" t="inlineStr">
        <is>
          <t>failed</t>
        </is>
      </c>
      <c r="E802" t="inlineStr">
        <is>
          <t>order_fSKVAwanJt9KCK</t>
        </is>
      </c>
      <c r="G802" t="n">
        <v>0</v>
      </c>
      <c r="H802" t="inlineStr">
        <is>
          <t>card</t>
        </is>
      </c>
      <c r="I802" t="n">
        <v>0</v>
      </c>
      <c r="J802" t="n">
        <v>0</v>
      </c>
      <c r="L802" t="n">
        <v>0</v>
      </c>
      <c r="R802" t="inlineStr">
        <is>
          <t>customer252@example.com</t>
        </is>
      </c>
      <c r="S802">
        <f>+919891326406</f>
        <v/>
      </c>
      <c r="T802" t="inlineStr">
        <is>
          <t>[]</t>
        </is>
      </c>
      <c r="W802" t="inlineStr">
        <is>
          <t>BAD_REQUEST_ERROR</t>
        </is>
      </c>
      <c r="X802" t="inlineStr">
        <is>
          <t>Payment cancelled by user</t>
        </is>
      </c>
      <c r="Y802" s="1" t="n">
        <v>46145.3870949074</v>
      </c>
    </row>
    <row r="803">
      <c r="A803" t="inlineStr">
        <is>
          <t>pay_ntQA0LFyn96mDE</t>
        </is>
      </c>
      <c r="B803" t="n">
        <v>999</v>
      </c>
      <c r="C803" t="inlineStr">
        <is>
          <t>INR</t>
        </is>
      </c>
      <c r="D803" t="inlineStr">
        <is>
          <t>captured</t>
        </is>
      </c>
      <c r="E803" t="inlineStr">
        <is>
          <t>order_drXPPCvAmbsTmR</t>
        </is>
      </c>
      <c r="G803" t="n">
        <v>0</v>
      </c>
      <c r="H803" t="inlineStr">
        <is>
          <t>upi</t>
        </is>
      </c>
      <c r="I803" t="n">
        <v>0</v>
      </c>
      <c r="J803" t="n">
        <v>0</v>
      </c>
      <c r="L803" t="n">
        <v>1</v>
      </c>
      <c r="R803" t="inlineStr">
        <is>
          <t>customer601@example.com</t>
        </is>
      </c>
      <c r="S803">
        <f>+919867482183</f>
        <v/>
      </c>
      <c r="T803" t="inlineStr">
        <is>
          <t>[]</t>
        </is>
      </c>
      <c r="U803" t="n">
        <v>19.98</v>
      </c>
      <c r="V803" t="n">
        <v>3.6</v>
      </c>
      <c r="Y803" s="1" t="n">
        <v>46148.97828703704</v>
      </c>
    </row>
    <row r="804">
      <c r="A804" t="inlineStr">
        <is>
          <t>pay_CFk16dmVTlld1H</t>
        </is>
      </c>
      <c r="B804" t="n">
        <v>1799</v>
      </c>
      <c r="C804" t="inlineStr">
        <is>
          <t>INR</t>
        </is>
      </c>
      <c r="D804" t="inlineStr">
        <is>
          <t>captured</t>
        </is>
      </c>
      <c r="E804" t="inlineStr">
        <is>
          <t>order_8ttlpSoK30USoN</t>
        </is>
      </c>
      <c r="G804" t="n">
        <v>0</v>
      </c>
      <c r="H804" t="inlineStr">
        <is>
          <t>upi</t>
        </is>
      </c>
      <c r="I804" t="n">
        <v>0</v>
      </c>
      <c r="J804" t="n">
        <v>0</v>
      </c>
      <c r="L804" t="n">
        <v>1</v>
      </c>
      <c r="R804" t="inlineStr">
        <is>
          <t>customer194@example.com</t>
        </is>
      </c>
      <c r="S804">
        <f>+919880170837</f>
        <v/>
      </c>
      <c r="T804" t="inlineStr">
        <is>
          <t>[]</t>
        </is>
      </c>
      <c r="U804" t="n">
        <v>35.98</v>
      </c>
      <c r="V804" t="n">
        <v>6.48</v>
      </c>
      <c r="Y804" s="1" t="n">
        <v>46173.9875</v>
      </c>
    </row>
    <row r="805">
      <c r="A805" t="inlineStr">
        <is>
          <t>pay_FEBRCZyUqKyN7C</t>
        </is>
      </c>
      <c r="B805" t="n">
        <v>2499</v>
      </c>
      <c r="C805" t="inlineStr">
        <is>
          <t>INR</t>
        </is>
      </c>
      <c r="D805" t="inlineStr">
        <is>
          <t>captured</t>
        </is>
      </c>
      <c r="E805" t="inlineStr">
        <is>
          <t>order_vblOmcBISvN9SH</t>
        </is>
      </c>
      <c r="G805" t="n">
        <v>0</v>
      </c>
      <c r="H805" t="inlineStr">
        <is>
          <t>upi</t>
        </is>
      </c>
      <c r="I805" t="n">
        <v>0</v>
      </c>
      <c r="J805" t="n">
        <v>0</v>
      </c>
      <c r="L805" t="n">
        <v>1</v>
      </c>
      <c r="R805" t="inlineStr">
        <is>
          <t>customer665@example.com</t>
        </is>
      </c>
      <c r="S805">
        <f>+919866764279</f>
        <v/>
      </c>
      <c r="T805" t="inlineStr">
        <is>
          <t>[]</t>
        </is>
      </c>
      <c r="U805" t="n">
        <v>49.98</v>
      </c>
      <c r="V805" t="n">
        <v>9</v>
      </c>
      <c r="Y805" s="1" t="n">
        <v>46151.23224537037</v>
      </c>
    </row>
    <row r="806">
      <c r="A806" t="inlineStr">
        <is>
          <t>pay_A9J9sR5vWc4KdY</t>
        </is>
      </c>
      <c r="B806" t="n">
        <v>3999</v>
      </c>
      <c r="C806" t="inlineStr">
        <is>
          <t>INR</t>
        </is>
      </c>
      <c r="D806" t="inlineStr">
        <is>
          <t>captured</t>
        </is>
      </c>
      <c r="E806" t="inlineStr">
        <is>
          <t>order_jURYGSiQsIopJe</t>
        </is>
      </c>
      <c r="G806" t="n">
        <v>0</v>
      </c>
      <c r="H806" t="inlineStr">
        <is>
          <t>upi</t>
        </is>
      </c>
      <c r="I806" t="n">
        <v>0</v>
      </c>
      <c r="J806" t="n">
        <v>0</v>
      </c>
      <c r="L806" t="n">
        <v>1</v>
      </c>
      <c r="R806" t="inlineStr">
        <is>
          <t>customer339@example.com</t>
        </is>
      </c>
      <c r="S806">
        <f>+919844749613</f>
        <v/>
      </c>
      <c r="T806" t="inlineStr">
        <is>
          <t>[]</t>
        </is>
      </c>
      <c r="U806" t="n">
        <v>79.98</v>
      </c>
      <c r="V806" t="n">
        <v>14.4</v>
      </c>
      <c r="Y806" s="1" t="n">
        <v>46173.06368055556</v>
      </c>
    </row>
    <row r="807">
      <c r="A807" t="inlineStr">
        <is>
          <t>pay_4flA3Y5D6Oc9hP</t>
        </is>
      </c>
      <c r="B807" t="n">
        <v>1799</v>
      </c>
      <c r="C807" t="inlineStr">
        <is>
          <t>INR</t>
        </is>
      </c>
      <c r="D807" t="inlineStr">
        <is>
          <t>captured</t>
        </is>
      </c>
      <c r="E807" t="inlineStr">
        <is>
          <t>order_DuZmiXUVtZUJ72</t>
        </is>
      </c>
      <c r="G807" t="n">
        <v>0</v>
      </c>
      <c r="H807" t="inlineStr">
        <is>
          <t>netbanking</t>
        </is>
      </c>
      <c r="I807" t="n">
        <v>0</v>
      </c>
      <c r="J807" t="n">
        <v>0</v>
      </c>
      <c r="L807" t="n">
        <v>1</v>
      </c>
      <c r="R807" t="inlineStr">
        <is>
          <t>customer493@example.com</t>
        </is>
      </c>
      <c r="S807">
        <f>+919891899202</f>
        <v/>
      </c>
      <c r="T807" t="inlineStr">
        <is>
          <t>[]</t>
        </is>
      </c>
      <c r="U807" t="n">
        <v>35.98</v>
      </c>
      <c r="V807" t="n">
        <v>6.48</v>
      </c>
      <c r="Y807" s="1" t="n">
        <v>46171.45153935185</v>
      </c>
    </row>
    <row r="808">
      <c r="A808" t="inlineStr">
        <is>
          <t>pay_5Wn0U6at1ZB0bV</t>
        </is>
      </c>
      <c r="B808" t="n">
        <v>499</v>
      </c>
      <c r="C808" t="inlineStr">
        <is>
          <t>INR</t>
        </is>
      </c>
      <c r="D808" t="inlineStr">
        <is>
          <t>captured</t>
        </is>
      </c>
      <c r="E808" t="inlineStr">
        <is>
          <t>order_OyfO2SMAN4GWtn</t>
        </is>
      </c>
      <c r="G808" t="n">
        <v>0</v>
      </c>
      <c r="H808" t="inlineStr">
        <is>
          <t>upi</t>
        </is>
      </c>
      <c r="I808" t="n">
        <v>0</v>
      </c>
      <c r="J808" t="n">
        <v>0</v>
      </c>
      <c r="L808" t="n">
        <v>1</v>
      </c>
      <c r="R808" t="inlineStr">
        <is>
          <t>customer291@example.com</t>
        </is>
      </c>
      <c r="S808">
        <f>+919828686693</f>
        <v/>
      </c>
      <c r="T808" t="inlineStr">
        <is>
          <t>[]</t>
        </is>
      </c>
      <c r="U808" t="n">
        <v>9.98</v>
      </c>
      <c r="V808" t="n">
        <v>1.8</v>
      </c>
      <c r="Y808" s="1" t="n">
        <v>46147.41591435186</v>
      </c>
    </row>
    <row r="809">
      <c r="A809" t="inlineStr">
        <is>
          <t>pay_nGapn6UJgqsEWd</t>
        </is>
      </c>
      <c r="B809" t="n">
        <v>999</v>
      </c>
      <c r="C809" t="inlineStr">
        <is>
          <t>INR</t>
        </is>
      </c>
      <c r="D809" t="inlineStr">
        <is>
          <t>failed</t>
        </is>
      </c>
      <c r="E809" t="inlineStr">
        <is>
          <t>order_ZXNl7Dr9coMqFm</t>
        </is>
      </c>
      <c r="G809" t="n">
        <v>0</v>
      </c>
      <c r="H809" t="inlineStr">
        <is>
          <t>card</t>
        </is>
      </c>
      <c r="I809" t="n">
        <v>0</v>
      </c>
      <c r="J809" t="n">
        <v>0</v>
      </c>
      <c r="L809" t="n">
        <v>0</v>
      </c>
      <c r="R809" t="inlineStr">
        <is>
          <t>customer731@example.com</t>
        </is>
      </c>
      <c r="S809">
        <f>+919847094825</f>
        <v/>
      </c>
      <c r="T809" t="inlineStr">
        <is>
          <t>[]</t>
        </is>
      </c>
      <c r="W809" t="inlineStr">
        <is>
          <t>BAD_REQUEST_ERROR</t>
        </is>
      </c>
      <c r="X809" t="inlineStr">
        <is>
          <t>Card declined by bank</t>
        </is>
      </c>
      <c r="Y809" s="1" t="n">
        <v>46150.15899305556</v>
      </c>
    </row>
    <row r="810">
      <c r="A810" t="inlineStr">
        <is>
          <t>pay_oTsYoEpkaqwfYw</t>
        </is>
      </c>
      <c r="B810" t="n">
        <v>999</v>
      </c>
      <c r="C810" t="inlineStr">
        <is>
          <t>INR</t>
        </is>
      </c>
      <c r="D810" t="inlineStr">
        <is>
          <t>captured</t>
        </is>
      </c>
      <c r="E810" t="inlineStr">
        <is>
          <t>order_ZXNl7Dr9coMqFm</t>
        </is>
      </c>
      <c r="G810" t="n">
        <v>0</v>
      </c>
      <c r="H810" t="inlineStr">
        <is>
          <t>card</t>
        </is>
      </c>
      <c r="I810" t="n">
        <v>0</v>
      </c>
      <c r="J810" t="n">
        <v>0</v>
      </c>
      <c r="L810" t="n">
        <v>1</v>
      </c>
      <c r="R810" t="inlineStr">
        <is>
          <t>customer686@example.com</t>
        </is>
      </c>
      <c r="S810">
        <f>+919897050391</f>
        <v/>
      </c>
      <c r="T810" t="inlineStr">
        <is>
          <t>[]</t>
        </is>
      </c>
      <c r="U810" t="n">
        <v>19.98</v>
      </c>
      <c r="V810" t="n">
        <v>3.6</v>
      </c>
      <c r="Y810" s="1" t="n">
        <v>46150.16561342592</v>
      </c>
    </row>
    <row r="811">
      <c r="A811" t="inlineStr">
        <is>
          <t>pay_1PGQKZiK4xzL58</t>
        </is>
      </c>
      <c r="B811" t="n">
        <v>1799</v>
      </c>
      <c r="C811" t="inlineStr">
        <is>
          <t>INR</t>
        </is>
      </c>
      <c r="D811" t="inlineStr">
        <is>
          <t>captured</t>
        </is>
      </c>
      <c r="E811" t="inlineStr">
        <is>
          <t>order_5BD1tFENCVLWUy</t>
        </is>
      </c>
      <c r="G811" t="n">
        <v>0</v>
      </c>
      <c r="H811" t="inlineStr">
        <is>
          <t>upi</t>
        </is>
      </c>
      <c r="I811" t="n">
        <v>0</v>
      </c>
      <c r="J811" t="n">
        <v>0</v>
      </c>
      <c r="L811" t="n">
        <v>1</v>
      </c>
      <c r="R811" t="inlineStr">
        <is>
          <t>customer237@example.com</t>
        </is>
      </c>
      <c r="S811">
        <f>+919817341341</f>
        <v/>
      </c>
      <c r="T811" t="inlineStr">
        <is>
          <t>[]</t>
        </is>
      </c>
      <c r="U811" t="n">
        <v>35.98</v>
      </c>
      <c r="V811" t="n">
        <v>6.48</v>
      </c>
      <c r="Y811" s="1" t="n">
        <v>46147.87435185185</v>
      </c>
    </row>
    <row r="812">
      <c r="A812" t="inlineStr">
        <is>
          <t>pay_vxYTDx6Kbntyff</t>
        </is>
      </c>
      <c r="B812" t="n">
        <v>1799</v>
      </c>
      <c r="C812" t="inlineStr">
        <is>
          <t>INR</t>
        </is>
      </c>
      <c r="D812" t="inlineStr">
        <is>
          <t>captured</t>
        </is>
      </c>
      <c r="E812" t="inlineStr">
        <is>
          <t>order_uhGepb5hf8fYEV</t>
        </is>
      </c>
      <c r="G812" t="n">
        <v>0</v>
      </c>
      <c r="H812" t="inlineStr">
        <is>
          <t>netbanking</t>
        </is>
      </c>
      <c r="I812" t="n">
        <v>0</v>
      </c>
      <c r="J812" t="n">
        <v>0</v>
      </c>
      <c r="L812" t="n">
        <v>1</v>
      </c>
      <c r="R812" t="inlineStr">
        <is>
          <t>customer130@example.com</t>
        </is>
      </c>
      <c r="S812">
        <f>+919814037300</f>
        <v/>
      </c>
      <c r="T812" t="inlineStr">
        <is>
          <t>[]</t>
        </is>
      </c>
      <c r="U812" t="n">
        <v>35.98</v>
      </c>
      <c r="V812" t="n">
        <v>6.48</v>
      </c>
      <c r="Y812" s="1" t="n">
        <v>46144.04800925926</v>
      </c>
    </row>
    <row r="813">
      <c r="A813" t="inlineStr">
        <is>
          <t>pay_2ylWjztlf6x3bd</t>
        </is>
      </c>
      <c r="B813" t="n">
        <v>1799</v>
      </c>
      <c r="C813" t="inlineStr">
        <is>
          <t>INR</t>
        </is>
      </c>
      <c r="D813" t="inlineStr">
        <is>
          <t>captured</t>
        </is>
      </c>
      <c r="E813" t="inlineStr">
        <is>
          <t>order_MlE3b29Y3npJuG</t>
        </is>
      </c>
      <c r="G813" t="n">
        <v>0</v>
      </c>
      <c r="H813" t="inlineStr">
        <is>
          <t>card</t>
        </is>
      </c>
      <c r="I813" t="n">
        <v>0</v>
      </c>
      <c r="J813" t="n">
        <v>0</v>
      </c>
      <c r="L813" t="n">
        <v>1</v>
      </c>
      <c r="R813" t="inlineStr">
        <is>
          <t>customer45@example.com</t>
        </is>
      </c>
      <c r="S813">
        <f>+919859371485</f>
        <v/>
      </c>
      <c r="T813" t="inlineStr">
        <is>
          <t>[]</t>
        </is>
      </c>
      <c r="U813" t="n">
        <v>35.98</v>
      </c>
      <c r="V813" t="n">
        <v>6.48</v>
      </c>
      <c r="Y813" s="1" t="n">
        <v>46148.77123842593</v>
      </c>
    </row>
    <row r="814">
      <c r="A814" t="inlineStr">
        <is>
          <t>pay_n0C3mF6pXfRvqx</t>
        </is>
      </c>
      <c r="B814" t="n">
        <v>1799</v>
      </c>
      <c r="C814" t="inlineStr">
        <is>
          <t>INR</t>
        </is>
      </c>
      <c r="D814" t="inlineStr">
        <is>
          <t>captured</t>
        </is>
      </c>
      <c r="E814" t="inlineStr">
        <is>
          <t>order_M2oFf0r0di2Quv</t>
        </is>
      </c>
      <c r="G814" t="n">
        <v>0</v>
      </c>
      <c r="H814" t="inlineStr">
        <is>
          <t>card</t>
        </is>
      </c>
      <c r="I814" t="n">
        <v>0</v>
      </c>
      <c r="J814" t="n">
        <v>0</v>
      </c>
      <c r="L814" t="n">
        <v>1</v>
      </c>
      <c r="R814" t="inlineStr">
        <is>
          <t>customer62@example.com</t>
        </is>
      </c>
      <c r="S814">
        <f>+919844803882</f>
        <v/>
      </c>
      <c r="T814" t="inlineStr">
        <is>
          <t>[]</t>
        </is>
      </c>
      <c r="U814" t="n">
        <v>35.98</v>
      </c>
      <c r="V814" t="n">
        <v>6.48</v>
      </c>
      <c r="Y814" s="1" t="n">
        <v>46154.47945601852</v>
      </c>
    </row>
    <row r="815">
      <c r="A815" t="inlineStr">
        <is>
          <t>pay_VHMUh9ugoTN5ll</t>
        </is>
      </c>
      <c r="B815" t="n">
        <v>1799</v>
      </c>
      <c r="C815" t="inlineStr">
        <is>
          <t>INR</t>
        </is>
      </c>
      <c r="D815" t="inlineStr">
        <is>
          <t>failed</t>
        </is>
      </c>
      <c r="E815" t="inlineStr">
        <is>
          <t>order_hmMIfrUG2JDBzV</t>
        </is>
      </c>
      <c r="G815" t="n">
        <v>0</v>
      </c>
      <c r="H815" t="inlineStr">
        <is>
          <t>upi</t>
        </is>
      </c>
      <c r="I815" t="n">
        <v>0</v>
      </c>
      <c r="J815" t="n">
        <v>0</v>
      </c>
      <c r="L815" t="n">
        <v>0</v>
      </c>
      <c r="R815" t="inlineStr">
        <is>
          <t>customer46@example.com</t>
        </is>
      </c>
      <c r="S815">
        <f>+919875311678</f>
        <v/>
      </c>
      <c r="T815" t="inlineStr">
        <is>
          <t>[]</t>
        </is>
      </c>
      <c r="W815" t="inlineStr">
        <is>
          <t>BAD_REQUEST_ERROR</t>
        </is>
      </c>
      <c r="X815" t="inlineStr">
        <is>
          <t>Payment was not completed on time</t>
        </is>
      </c>
      <c r="Y815" s="1" t="n">
        <v>46168.29148148148</v>
      </c>
    </row>
    <row r="816">
      <c r="A816" t="inlineStr">
        <is>
          <t>pay_FGyNBC2yZ2kU4q</t>
        </is>
      </c>
      <c r="B816" t="n">
        <v>1499</v>
      </c>
      <c r="C816" t="inlineStr">
        <is>
          <t>INR</t>
        </is>
      </c>
      <c r="D816" t="inlineStr">
        <is>
          <t>captured</t>
        </is>
      </c>
      <c r="E816" t="inlineStr">
        <is>
          <t>order_nLWH6LcjXLXDrn</t>
        </is>
      </c>
      <c r="G816" t="n">
        <v>0</v>
      </c>
      <c r="H816" t="inlineStr">
        <is>
          <t>card</t>
        </is>
      </c>
      <c r="I816" t="n">
        <v>0</v>
      </c>
      <c r="J816" t="n">
        <v>0</v>
      </c>
      <c r="L816" t="n">
        <v>1</v>
      </c>
      <c r="R816" t="inlineStr">
        <is>
          <t>customer28@example.com</t>
        </is>
      </c>
      <c r="S816">
        <f>+919814622212</f>
        <v/>
      </c>
      <c r="T816" t="inlineStr">
        <is>
          <t>[]</t>
        </is>
      </c>
      <c r="U816" t="n">
        <v>29.98</v>
      </c>
      <c r="V816" t="n">
        <v>5.4</v>
      </c>
      <c r="Y816" s="1" t="n">
        <v>46161.0032175926</v>
      </c>
    </row>
    <row r="817">
      <c r="A817" t="inlineStr">
        <is>
          <t>pay_6wiNuysObZE8YI</t>
        </is>
      </c>
      <c r="B817" t="n">
        <v>3999</v>
      </c>
      <c r="C817" t="inlineStr">
        <is>
          <t>INR</t>
        </is>
      </c>
      <c r="D817" t="inlineStr">
        <is>
          <t>failed</t>
        </is>
      </c>
      <c r="E817" t="inlineStr">
        <is>
          <t>order_7x9JzEOeRS0fUU</t>
        </is>
      </c>
      <c r="G817" t="n">
        <v>0</v>
      </c>
      <c r="H817" t="inlineStr">
        <is>
          <t>card</t>
        </is>
      </c>
      <c r="I817" t="n">
        <v>0</v>
      </c>
      <c r="J817" t="n">
        <v>0</v>
      </c>
      <c r="L817" t="n">
        <v>0</v>
      </c>
      <c r="R817" t="inlineStr">
        <is>
          <t>customer586@example.com</t>
        </is>
      </c>
      <c r="S817">
        <f>+919856030569</f>
        <v/>
      </c>
      <c r="T817" t="inlineStr">
        <is>
          <t>[]</t>
        </is>
      </c>
      <c r="W817" t="inlineStr">
        <is>
          <t>BAD_REQUEST_ERROR</t>
        </is>
      </c>
      <c r="X817" t="inlineStr">
        <is>
          <t>Payment failed due to incorrect OTP</t>
        </is>
      </c>
      <c r="Y817" s="1" t="n">
        <v>46157.92788194444</v>
      </c>
    </row>
    <row r="818">
      <c r="A818" t="inlineStr">
        <is>
          <t>pay_0j70w6P67ynxi1</t>
        </is>
      </c>
      <c r="B818" t="n">
        <v>3999</v>
      </c>
      <c r="C818" t="inlineStr">
        <is>
          <t>INR</t>
        </is>
      </c>
      <c r="D818" t="inlineStr">
        <is>
          <t>captured</t>
        </is>
      </c>
      <c r="E818" t="inlineStr">
        <is>
          <t>order_7x9JzEOeRS0fUU</t>
        </is>
      </c>
      <c r="G818" t="n">
        <v>0</v>
      </c>
      <c r="H818" t="inlineStr">
        <is>
          <t>upi</t>
        </is>
      </c>
      <c r="I818" t="n">
        <v>0</v>
      </c>
      <c r="J818" t="n">
        <v>0</v>
      </c>
      <c r="L818" t="n">
        <v>1</v>
      </c>
      <c r="R818" t="inlineStr">
        <is>
          <t>customer63@example.com</t>
        </is>
      </c>
      <c r="S818">
        <f>+919899064966</f>
        <v/>
      </c>
      <c r="T818" t="inlineStr">
        <is>
          <t>[]</t>
        </is>
      </c>
      <c r="U818" t="n">
        <v>79.98</v>
      </c>
      <c r="V818" t="n">
        <v>14.4</v>
      </c>
      <c r="Y818" s="1" t="n">
        <v>46157.93305555556</v>
      </c>
    </row>
    <row r="819">
      <c r="A819" t="inlineStr">
        <is>
          <t>pay_XujbaR0dbZucsm</t>
        </is>
      </c>
      <c r="B819" t="n">
        <v>1499</v>
      </c>
      <c r="C819" t="inlineStr">
        <is>
          <t>INR</t>
        </is>
      </c>
      <c r="D819" t="inlineStr">
        <is>
          <t>captured</t>
        </is>
      </c>
      <c r="E819" t="inlineStr">
        <is>
          <t>order_PzlpARGoy8PEF7</t>
        </is>
      </c>
      <c r="G819" t="n">
        <v>0</v>
      </c>
      <c r="H819" t="inlineStr">
        <is>
          <t>card</t>
        </is>
      </c>
      <c r="I819" t="n">
        <v>0</v>
      </c>
      <c r="J819" t="n">
        <v>0</v>
      </c>
      <c r="L819" t="n">
        <v>1</v>
      </c>
      <c r="R819" t="inlineStr">
        <is>
          <t>customer247@example.com</t>
        </is>
      </c>
      <c r="S819">
        <f>+919882704320</f>
        <v/>
      </c>
      <c r="T819" t="inlineStr">
        <is>
          <t>[]</t>
        </is>
      </c>
      <c r="U819" t="n">
        <v>29.98</v>
      </c>
      <c r="V819" t="n">
        <v>5.4</v>
      </c>
      <c r="Y819" s="1" t="n">
        <v>46167.81483796296</v>
      </c>
    </row>
    <row r="820">
      <c r="A820" t="inlineStr">
        <is>
          <t>pay_7WXiH5AOSU9bxi</t>
        </is>
      </c>
      <c r="B820" t="n">
        <v>1499</v>
      </c>
      <c r="C820" t="inlineStr">
        <is>
          <t>INR</t>
        </is>
      </c>
      <c r="D820" t="inlineStr">
        <is>
          <t>refunded</t>
        </is>
      </c>
      <c r="E820" t="inlineStr">
        <is>
          <t>order_3jKAMUFC80FC25</t>
        </is>
      </c>
      <c r="G820" t="n">
        <v>0</v>
      </c>
      <c r="H820" t="inlineStr">
        <is>
          <t>card</t>
        </is>
      </c>
      <c r="I820" t="n">
        <v>1499</v>
      </c>
      <c r="J820" t="n">
        <v>0</v>
      </c>
      <c r="K820" t="inlineStr">
        <is>
          <t>full</t>
        </is>
      </c>
      <c r="L820" t="n">
        <v>1</v>
      </c>
      <c r="R820" t="inlineStr">
        <is>
          <t>customer743@example.com</t>
        </is>
      </c>
      <c r="S820">
        <f>+919826608063</f>
        <v/>
      </c>
      <c r="T820" t="inlineStr">
        <is>
          <t>[]</t>
        </is>
      </c>
      <c r="U820" t="n">
        <v>29.98</v>
      </c>
      <c r="V820" t="n">
        <v>5.4</v>
      </c>
      <c r="Y820" s="1" t="n">
        <v>46171.22350694444</v>
      </c>
    </row>
    <row r="821">
      <c r="A821" t="inlineStr">
        <is>
          <t>pay_wsduBk0l7ETli6</t>
        </is>
      </c>
      <c r="B821" t="n">
        <v>2499</v>
      </c>
      <c r="C821" t="inlineStr">
        <is>
          <t>INR</t>
        </is>
      </c>
      <c r="D821" t="inlineStr">
        <is>
          <t>captured</t>
        </is>
      </c>
      <c r="E821" t="inlineStr">
        <is>
          <t>order_0YoPg849vHYnCn</t>
        </is>
      </c>
      <c r="G821" t="n">
        <v>0</v>
      </c>
      <c r="H821" t="inlineStr">
        <is>
          <t>netbanking</t>
        </is>
      </c>
      <c r="I821" t="n">
        <v>0</v>
      </c>
      <c r="J821" t="n">
        <v>0</v>
      </c>
      <c r="L821" t="n">
        <v>1</v>
      </c>
      <c r="R821" t="inlineStr">
        <is>
          <t>customer31@example.com</t>
        </is>
      </c>
      <c r="S821">
        <f>+919867174379</f>
        <v/>
      </c>
      <c r="T821" t="inlineStr">
        <is>
          <t>[]</t>
        </is>
      </c>
      <c r="U821" t="n">
        <v>49.98</v>
      </c>
      <c r="V821" t="n">
        <v>9</v>
      </c>
      <c r="Y821" s="1" t="n">
        <v>46157.83497685185</v>
      </c>
    </row>
    <row r="822">
      <c r="A822" t="inlineStr">
        <is>
          <t>pay_PcMe3xhlomhW90</t>
        </is>
      </c>
      <c r="B822" t="n">
        <v>3999</v>
      </c>
      <c r="C822" t="inlineStr">
        <is>
          <t>INR</t>
        </is>
      </c>
      <c r="D822" t="inlineStr">
        <is>
          <t>captured</t>
        </is>
      </c>
      <c r="E822" t="inlineStr">
        <is>
          <t>order_TN1xKm2OT6iCTf</t>
        </is>
      </c>
      <c r="G822" t="n">
        <v>0</v>
      </c>
      <c r="H822" t="inlineStr">
        <is>
          <t>upi</t>
        </is>
      </c>
      <c r="I822" t="n">
        <v>0</v>
      </c>
      <c r="J822" t="n">
        <v>0</v>
      </c>
      <c r="L822" t="n">
        <v>1</v>
      </c>
      <c r="R822" t="inlineStr">
        <is>
          <t>customer750@example.com</t>
        </is>
      </c>
      <c r="S822">
        <f>+919846028761</f>
        <v/>
      </c>
      <c r="T822" t="inlineStr">
        <is>
          <t>[]</t>
        </is>
      </c>
      <c r="U822" t="n">
        <v>79.98</v>
      </c>
      <c r="V822" t="n">
        <v>14.4</v>
      </c>
      <c r="Y822" s="1" t="n">
        <v>46147.43925925926</v>
      </c>
    </row>
    <row r="823">
      <c r="A823" t="inlineStr">
        <is>
          <t>pay_qgj4fosenFifZG</t>
        </is>
      </c>
      <c r="B823" t="n">
        <v>499</v>
      </c>
      <c r="C823" t="inlineStr">
        <is>
          <t>INR</t>
        </is>
      </c>
      <c r="D823" t="inlineStr">
        <is>
          <t>captured</t>
        </is>
      </c>
      <c r="E823" t="inlineStr">
        <is>
          <t>order_lboEf9ciBg6JT3</t>
        </is>
      </c>
      <c r="G823" t="n">
        <v>0</v>
      </c>
      <c r="H823" t="inlineStr">
        <is>
          <t>upi</t>
        </is>
      </c>
      <c r="I823" t="n">
        <v>0</v>
      </c>
      <c r="J823" t="n">
        <v>0</v>
      </c>
      <c r="L823" t="n">
        <v>1</v>
      </c>
      <c r="R823" t="inlineStr">
        <is>
          <t>customer246@example.com</t>
        </is>
      </c>
      <c r="S823">
        <f>+919887678432</f>
        <v/>
      </c>
      <c r="T823" t="inlineStr">
        <is>
          <t>[]</t>
        </is>
      </c>
      <c r="U823" t="n">
        <v>9.98</v>
      </c>
      <c r="V823" t="n">
        <v>1.8</v>
      </c>
      <c r="Y823" s="1" t="n">
        <v>46145.43260416666</v>
      </c>
    </row>
    <row r="824">
      <c r="A824" t="inlineStr">
        <is>
          <t>pay_vyKJCrG6ghkuoN</t>
        </is>
      </c>
      <c r="B824" t="n">
        <v>2499</v>
      </c>
      <c r="C824" t="inlineStr">
        <is>
          <t>INR</t>
        </is>
      </c>
      <c r="D824" t="inlineStr">
        <is>
          <t>captured</t>
        </is>
      </c>
      <c r="E824" t="inlineStr">
        <is>
          <t>order_WxKQk52sL12sri</t>
        </is>
      </c>
      <c r="G824" t="n">
        <v>0</v>
      </c>
      <c r="H824" t="inlineStr">
        <is>
          <t>netbanking</t>
        </is>
      </c>
      <c r="I824" t="n">
        <v>0</v>
      </c>
      <c r="J824" t="n">
        <v>0</v>
      </c>
      <c r="L824" t="n">
        <v>1</v>
      </c>
      <c r="R824" t="inlineStr">
        <is>
          <t>customer342@example.com</t>
        </is>
      </c>
      <c r="S824">
        <f>+919853966013</f>
        <v/>
      </c>
      <c r="T824" t="inlineStr">
        <is>
          <t>[]</t>
        </is>
      </c>
      <c r="U824" t="n">
        <v>49.98</v>
      </c>
      <c r="V824" t="n">
        <v>9</v>
      </c>
      <c r="Y824" s="1" t="n">
        <v>46172.38782407407</v>
      </c>
    </row>
    <row r="825">
      <c r="A825" t="inlineStr">
        <is>
          <t>pay_728V9e4vVASjXo</t>
        </is>
      </c>
      <c r="B825" t="n">
        <v>1499</v>
      </c>
      <c r="C825" t="inlineStr">
        <is>
          <t>INR</t>
        </is>
      </c>
      <c r="D825" t="inlineStr">
        <is>
          <t>captured</t>
        </is>
      </c>
      <c r="E825" t="inlineStr">
        <is>
          <t>order_TdHPJyqoPSThJs</t>
        </is>
      </c>
      <c r="G825" t="n">
        <v>0</v>
      </c>
      <c r="H825" t="inlineStr">
        <is>
          <t>card</t>
        </is>
      </c>
      <c r="I825" t="n">
        <v>0</v>
      </c>
      <c r="J825" t="n">
        <v>0</v>
      </c>
      <c r="L825" t="n">
        <v>1</v>
      </c>
      <c r="R825" t="inlineStr">
        <is>
          <t>customer24@example.com</t>
        </is>
      </c>
      <c r="S825">
        <f>+919829485698</f>
        <v/>
      </c>
      <c r="T825" t="inlineStr">
        <is>
          <t>[]</t>
        </is>
      </c>
      <c r="U825" t="n">
        <v>29.98</v>
      </c>
      <c r="V825" t="n">
        <v>5.4</v>
      </c>
      <c r="Y825" s="1" t="n">
        <v>46145.07621527778</v>
      </c>
    </row>
    <row r="826">
      <c r="A826" t="inlineStr">
        <is>
          <t>pay_MnJyJDXJ9N83R5</t>
        </is>
      </c>
      <c r="B826" t="n">
        <v>1799</v>
      </c>
      <c r="C826" t="inlineStr">
        <is>
          <t>INR</t>
        </is>
      </c>
      <c r="D826" t="inlineStr">
        <is>
          <t>captured</t>
        </is>
      </c>
      <c r="E826" t="inlineStr">
        <is>
          <t>order_sNE9BdFPplp07k</t>
        </is>
      </c>
      <c r="G826" t="n">
        <v>0</v>
      </c>
      <c r="H826" t="inlineStr">
        <is>
          <t>upi</t>
        </is>
      </c>
      <c r="I826" t="n">
        <v>0</v>
      </c>
      <c r="J826" t="n">
        <v>0</v>
      </c>
      <c r="L826" t="n">
        <v>1</v>
      </c>
      <c r="R826" t="inlineStr">
        <is>
          <t>customer683@example.com</t>
        </is>
      </c>
      <c r="S826">
        <f>+919839333559</f>
        <v/>
      </c>
      <c r="T826" t="inlineStr">
        <is>
          <t>[]</t>
        </is>
      </c>
      <c r="U826" t="n">
        <v>35.98</v>
      </c>
      <c r="V826" t="n">
        <v>6.48</v>
      </c>
      <c r="Y826" s="1" t="n">
        <v>46150.54126157407</v>
      </c>
    </row>
    <row r="827">
      <c r="A827" t="inlineStr">
        <is>
          <t>pay_QVV1eUC1zyTmUN</t>
        </is>
      </c>
      <c r="B827" t="n">
        <v>1499</v>
      </c>
      <c r="C827" t="inlineStr">
        <is>
          <t>INR</t>
        </is>
      </c>
      <c r="D827" t="inlineStr">
        <is>
          <t>failed</t>
        </is>
      </c>
      <c r="E827" t="inlineStr">
        <is>
          <t>order_Kj23BFxUBobNf8</t>
        </is>
      </c>
      <c r="G827" t="n">
        <v>0</v>
      </c>
      <c r="H827" t="inlineStr">
        <is>
          <t>upi</t>
        </is>
      </c>
      <c r="I827" t="n">
        <v>0</v>
      </c>
      <c r="J827" t="n">
        <v>0</v>
      </c>
      <c r="L827" t="n">
        <v>0</v>
      </c>
      <c r="R827" t="inlineStr">
        <is>
          <t>customer451@example.com</t>
        </is>
      </c>
      <c r="S827">
        <f>+919856913957</f>
        <v/>
      </c>
      <c r="T827" t="inlineStr">
        <is>
          <t>[]</t>
        </is>
      </c>
      <c r="W827" t="inlineStr">
        <is>
          <t>BAD_REQUEST_ERROR</t>
        </is>
      </c>
      <c r="X827" t="inlineStr">
        <is>
          <t>Payment was not completed on time</t>
        </is>
      </c>
      <c r="Y827" s="1" t="n">
        <v>46150.71611111111</v>
      </c>
    </row>
    <row r="828">
      <c r="A828" t="inlineStr">
        <is>
          <t>pay_iaIFjcVYHwa1ck</t>
        </is>
      </c>
      <c r="B828" t="n">
        <v>2499</v>
      </c>
      <c r="C828" t="inlineStr">
        <is>
          <t>INR</t>
        </is>
      </c>
      <c r="D828" t="inlineStr">
        <is>
          <t>captured</t>
        </is>
      </c>
      <c r="E828" t="inlineStr">
        <is>
          <t>order_l36dO3hHWUB2PJ</t>
        </is>
      </c>
      <c r="G828" t="n">
        <v>0</v>
      </c>
      <c r="H828" t="inlineStr">
        <is>
          <t>upi</t>
        </is>
      </c>
      <c r="I828" t="n">
        <v>0</v>
      </c>
      <c r="J828" t="n">
        <v>0</v>
      </c>
      <c r="L828" t="n">
        <v>1</v>
      </c>
      <c r="R828" t="inlineStr">
        <is>
          <t>customer228@example.com</t>
        </is>
      </c>
      <c r="S828">
        <f>+919845781490</f>
        <v/>
      </c>
      <c r="T828" t="inlineStr">
        <is>
          <t>[]</t>
        </is>
      </c>
      <c r="U828" t="n">
        <v>49.98</v>
      </c>
      <c r="V828" t="n">
        <v>9</v>
      </c>
      <c r="Y828" s="1" t="n">
        <v>46172.30511574074</v>
      </c>
    </row>
    <row r="829">
      <c r="A829" t="inlineStr">
        <is>
          <t>pay_tIgm2ZbtJY1OZf</t>
        </is>
      </c>
      <c r="B829" t="n">
        <v>1499</v>
      </c>
      <c r="C829" t="inlineStr">
        <is>
          <t>INR</t>
        </is>
      </c>
      <c r="D829" t="inlineStr">
        <is>
          <t>captured</t>
        </is>
      </c>
      <c r="E829" t="inlineStr">
        <is>
          <t>order_bVv1vFgDouEzB1</t>
        </is>
      </c>
      <c r="G829" t="n">
        <v>0</v>
      </c>
      <c r="H829" t="inlineStr">
        <is>
          <t>netbanking</t>
        </is>
      </c>
      <c r="I829" t="n">
        <v>0</v>
      </c>
      <c r="J829" t="n">
        <v>0</v>
      </c>
      <c r="L829" t="n">
        <v>1</v>
      </c>
      <c r="R829" t="inlineStr">
        <is>
          <t>customer636@example.com</t>
        </is>
      </c>
      <c r="S829">
        <f>+919898641472</f>
        <v/>
      </c>
      <c r="T829" t="inlineStr">
        <is>
          <t>[]</t>
        </is>
      </c>
      <c r="U829" t="n">
        <v>29.98</v>
      </c>
      <c r="V829" t="n">
        <v>5.4</v>
      </c>
      <c r="Y829" s="1" t="n">
        <v>46147.95027777777</v>
      </c>
    </row>
    <row r="830">
      <c r="A830" t="inlineStr">
        <is>
          <t>pay_epvI2wsegdTaH0</t>
        </is>
      </c>
      <c r="B830" t="n">
        <v>1799</v>
      </c>
      <c r="C830" t="inlineStr">
        <is>
          <t>INR</t>
        </is>
      </c>
      <c r="D830" t="inlineStr">
        <is>
          <t>refunded</t>
        </is>
      </c>
      <c r="E830" t="inlineStr">
        <is>
          <t>order_EXjZjqwxqjjUJL</t>
        </is>
      </c>
      <c r="G830" t="n">
        <v>0</v>
      </c>
      <c r="H830" t="inlineStr">
        <is>
          <t>card</t>
        </is>
      </c>
      <c r="I830" t="n">
        <v>1799</v>
      </c>
      <c r="J830" t="n">
        <v>0</v>
      </c>
      <c r="K830" t="inlineStr">
        <is>
          <t>full</t>
        </is>
      </c>
      <c r="L830" t="n">
        <v>1</v>
      </c>
      <c r="R830" t="inlineStr">
        <is>
          <t>customer502@example.com</t>
        </is>
      </c>
      <c r="S830">
        <f>+919829729796</f>
        <v/>
      </c>
      <c r="T830" t="inlineStr">
        <is>
          <t>[]</t>
        </is>
      </c>
      <c r="U830" t="n">
        <v>35.98</v>
      </c>
      <c r="V830" t="n">
        <v>6.48</v>
      </c>
      <c r="Y830" s="1" t="n">
        <v>46170.44991898148</v>
      </c>
    </row>
    <row r="831">
      <c r="A831" t="inlineStr">
        <is>
          <t>pay_hdzD3jYn7SZqvn</t>
        </is>
      </c>
      <c r="B831" t="n">
        <v>1499</v>
      </c>
      <c r="C831" t="inlineStr">
        <is>
          <t>INR</t>
        </is>
      </c>
      <c r="D831" t="inlineStr">
        <is>
          <t>failed</t>
        </is>
      </c>
      <c r="E831" t="inlineStr">
        <is>
          <t>order_loNvmcHd6BdYn8</t>
        </is>
      </c>
      <c r="G831" t="n">
        <v>0</v>
      </c>
      <c r="H831" t="inlineStr">
        <is>
          <t>card</t>
        </is>
      </c>
      <c r="I831" t="n">
        <v>0</v>
      </c>
      <c r="J831" t="n">
        <v>0</v>
      </c>
      <c r="L831" t="n">
        <v>0</v>
      </c>
      <c r="R831" t="inlineStr">
        <is>
          <t>customer589@example.com</t>
        </is>
      </c>
      <c r="S831">
        <f>+919820972368</f>
        <v/>
      </c>
      <c r="T831" t="inlineStr">
        <is>
          <t>[]</t>
        </is>
      </c>
      <c r="W831" t="inlineStr">
        <is>
          <t>BAD_REQUEST_ERROR</t>
        </is>
      </c>
      <c r="X831" t="inlineStr">
        <is>
          <t>Card declined by bank</t>
        </is>
      </c>
      <c r="Y831" s="1" t="n">
        <v>46172.61633101852</v>
      </c>
    </row>
    <row r="832">
      <c r="A832" t="inlineStr">
        <is>
          <t>pay_y6B0bHzytpYYja</t>
        </is>
      </c>
      <c r="B832" t="n">
        <v>1799</v>
      </c>
      <c r="C832" t="inlineStr">
        <is>
          <t>INR</t>
        </is>
      </c>
      <c r="D832" t="inlineStr">
        <is>
          <t>captured</t>
        </is>
      </c>
      <c r="E832" t="inlineStr">
        <is>
          <t>order_8kzSETre18fSFC</t>
        </is>
      </c>
      <c r="G832" t="n">
        <v>0</v>
      </c>
      <c r="H832" t="inlineStr">
        <is>
          <t>upi</t>
        </is>
      </c>
      <c r="I832" t="n">
        <v>0</v>
      </c>
      <c r="J832" t="n">
        <v>0</v>
      </c>
      <c r="L832" t="n">
        <v>1</v>
      </c>
      <c r="R832" t="inlineStr">
        <is>
          <t>customer543@example.com</t>
        </is>
      </c>
      <c r="S832">
        <f>+919874793502</f>
        <v/>
      </c>
      <c r="T832" t="inlineStr">
        <is>
          <t>[]</t>
        </is>
      </c>
      <c r="U832" t="n">
        <v>35.98</v>
      </c>
      <c r="V832" t="n">
        <v>6.48</v>
      </c>
      <c r="Y832" s="1" t="n">
        <v>46149.65482638889</v>
      </c>
    </row>
    <row r="833">
      <c r="A833" t="inlineStr">
        <is>
          <t>pay_300MTjZatL7XKU</t>
        </is>
      </c>
      <c r="B833" t="n">
        <v>999</v>
      </c>
      <c r="C833" t="inlineStr">
        <is>
          <t>INR</t>
        </is>
      </c>
      <c r="D833" t="inlineStr">
        <is>
          <t>captured</t>
        </is>
      </c>
      <c r="E833" t="inlineStr">
        <is>
          <t>order_a9x8IPB3d6RUlp</t>
        </is>
      </c>
      <c r="G833" t="n">
        <v>0</v>
      </c>
      <c r="H833" t="inlineStr">
        <is>
          <t>upi</t>
        </is>
      </c>
      <c r="I833" t="n">
        <v>0</v>
      </c>
      <c r="J833" t="n">
        <v>0</v>
      </c>
      <c r="L833" t="n">
        <v>1</v>
      </c>
      <c r="R833" t="inlineStr">
        <is>
          <t>customer601@example.com</t>
        </is>
      </c>
      <c r="S833">
        <f>+919845751861</f>
        <v/>
      </c>
      <c r="T833" t="inlineStr">
        <is>
          <t>[]</t>
        </is>
      </c>
      <c r="U833" t="n">
        <v>19.98</v>
      </c>
      <c r="V833" t="n">
        <v>3.6</v>
      </c>
      <c r="Y833" s="1" t="n">
        <v>46172.23422453704</v>
      </c>
    </row>
    <row r="834">
      <c r="A834" t="inlineStr">
        <is>
          <t>pay_QeeRfvwa0QSYkJ</t>
        </is>
      </c>
      <c r="B834" t="n">
        <v>999</v>
      </c>
      <c r="C834" t="inlineStr">
        <is>
          <t>INR</t>
        </is>
      </c>
      <c r="D834" t="inlineStr">
        <is>
          <t>failed</t>
        </is>
      </c>
      <c r="E834" t="inlineStr">
        <is>
          <t>order_xuhLwNjfgPdBHu</t>
        </is>
      </c>
      <c r="G834" t="n">
        <v>0</v>
      </c>
      <c r="H834" t="inlineStr">
        <is>
          <t>card</t>
        </is>
      </c>
      <c r="I834" t="n">
        <v>0</v>
      </c>
      <c r="J834" t="n">
        <v>0</v>
      </c>
      <c r="L834" t="n">
        <v>0</v>
      </c>
      <c r="R834" t="inlineStr">
        <is>
          <t>customer260@example.com</t>
        </is>
      </c>
      <c r="S834">
        <f>+919817503607</f>
        <v/>
      </c>
      <c r="T834" t="inlineStr">
        <is>
          <t>[]</t>
        </is>
      </c>
      <c r="W834" t="inlineStr">
        <is>
          <t>BAD_REQUEST_ERROR</t>
        </is>
      </c>
      <c r="X834" t="inlineStr">
        <is>
          <t>Payment failed due to incorrect OTP</t>
        </is>
      </c>
      <c r="Y834" s="1" t="n">
        <v>46149.74365740741</v>
      </c>
    </row>
    <row r="835">
      <c r="A835" t="inlineStr">
        <is>
          <t>pay_nviKrNtI1NoJVo</t>
        </is>
      </c>
      <c r="B835" t="n">
        <v>2499</v>
      </c>
      <c r="C835" t="inlineStr">
        <is>
          <t>INR</t>
        </is>
      </c>
      <c r="D835" t="inlineStr">
        <is>
          <t>captured</t>
        </is>
      </c>
      <c r="E835" t="inlineStr">
        <is>
          <t>order_neBwXJPUTse1Uk</t>
        </is>
      </c>
      <c r="G835" t="n">
        <v>0</v>
      </c>
      <c r="H835" t="inlineStr">
        <is>
          <t>upi</t>
        </is>
      </c>
      <c r="I835" t="n">
        <v>0</v>
      </c>
      <c r="J835" t="n">
        <v>0</v>
      </c>
      <c r="L835" t="n">
        <v>1</v>
      </c>
      <c r="R835" t="inlineStr">
        <is>
          <t>customer412@example.com</t>
        </is>
      </c>
      <c r="S835">
        <f>+919840540257</f>
        <v/>
      </c>
      <c r="T835" t="inlineStr">
        <is>
          <t>[]</t>
        </is>
      </c>
      <c r="U835" t="n">
        <v>49.98</v>
      </c>
      <c r="V835" t="n">
        <v>9</v>
      </c>
      <c r="Y835" s="1" t="n">
        <v>46149.61621527778</v>
      </c>
    </row>
    <row r="836">
      <c r="A836" t="inlineStr">
        <is>
          <t>pay_BV8Ds8yjMGH5wl</t>
        </is>
      </c>
      <c r="B836" t="n">
        <v>499</v>
      </c>
      <c r="C836" t="inlineStr">
        <is>
          <t>INR</t>
        </is>
      </c>
      <c r="D836" t="inlineStr">
        <is>
          <t>captured</t>
        </is>
      </c>
      <c r="E836" t="inlineStr">
        <is>
          <t>order_CDlG1yM7LcT5mW</t>
        </is>
      </c>
      <c r="G836" t="n">
        <v>0</v>
      </c>
      <c r="H836" t="inlineStr">
        <is>
          <t>upi</t>
        </is>
      </c>
      <c r="I836" t="n">
        <v>0</v>
      </c>
      <c r="J836" t="n">
        <v>0</v>
      </c>
      <c r="L836" t="n">
        <v>1</v>
      </c>
      <c r="R836" t="inlineStr">
        <is>
          <t>customer653@example.com</t>
        </is>
      </c>
      <c r="S836">
        <f>+919866718052</f>
        <v/>
      </c>
      <c r="T836" t="inlineStr">
        <is>
          <t>[]</t>
        </is>
      </c>
      <c r="U836" t="n">
        <v>9.98</v>
      </c>
      <c r="V836" t="n">
        <v>1.8</v>
      </c>
      <c r="Y836" s="1" t="n">
        <v>46150.11373842593</v>
      </c>
    </row>
    <row r="837">
      <c r="A837" t="inlineStr">
        <is>
          <t>pay_r0YnJ3DYevHdmi</t>
        </is>
      </c>
      <c r="B837" t="n">
        <v>1499</v>
      </c>
      <c r="C837" t="inlineStr">
        <is>
          <t>INR</t>
        </is>
      </c>
      <c r="D837" t="inlineStr">
        <is>
          <t>captured</t>
        </is>
      </c>
      <c r="E837" t="inlineStr">
        <is>
          <t>order_HQwLlXF3kMu8xO</t>
        </is>
      </c>
      <c r="G837" t="n">
        <v>0</v>
      </c>
      <c r="H837" t="inlineStr">
        <is>
          <t>card</t>
        </is>
      </c>
      <c r="I837" t="n">
        <v>0</v>
      </c>
      <c r="J837" t="n">
        <v>0</v>
      </c>
      <c r="L837" t="n">
        <v>1</v>
      </c>
      <c r="R837" t="inlineStr">
        <is>
          <t>customer606@example.com</t>
        </is>
      </c>
      <c r="S837">
        <f>+919816239360</f>
        <v/>
      </c>
      <c r="T837" t="inlineStr">
        <is>
          <t>[]</t>
        </is>
      </c>
      <c r="U837" t="n">
        <v>29.98</v>
      </c>
      <c r="V837" t="n">
        <v>5.4</v>
      </c>
      <c r="Y837" s="1" t="n">
        <v>46150.48607638889</v>
      </c>
    </row>
    <row r="838">
      <c r="A838" t="inlineStr">
        <is>
          <t>pay_yJpZpBCEFmMlIi</t>
        </is>
      </c>
      <c r="B838" t="n">
        <v>3999</v>
      </c>
      <c r="C838" t="inlineStr">
        <is>
          <t>INR</t>
        </is>
      </c>
      <c r="D838" t="inlineStr">
        <is>
          <t>captured</t>
        </is>
      </c>
      <c r="E838" t="inlineStr">
        <is>
          <t>order_JSADu0HUIvNbhO</t>
        </is>
      </c>
      <c r="G838" t="n">
        <v>0</v>
      </c>
      <c r="H838" t="inlineStr">
        <is>
          <t>card</t>
        </is>
      </c>
      <c r="I838" t="n">
        <v>0</v>
      </c>
      <c r="J838" t="n">
        <v>0</v>
      </c>
      <c r="L838" t="n">
        <v>1</v>
      </c>
      <c r="R838" t="inlineStr">
        <is>
          <t>customer393@example.com</t>
        </is>
      </c>
      <c r="S838">
        <f>+919874561258</f>
        <v/>
      </c>
      <c r="T838" t="inlineStr">
        <is>
          <t>[]</t>
        </is>
      </c>
      <c r="U838" t="n">
        <v>79.98</v>
      </c>
      <c r="V838" t="n">
        <v>14.4</v>
      </c>
      <c r="Y838" s="1" t="n">
        <v>46148.87355324074</v>
      </c>
    </row>
    <row r="839">
      <c r="A839" t="inlineStr">
        <is>
          <t>pay_7pnHtyNRxx133S</t>
        </is>
      </c>
      <c r="B839" t="n">
        <v>1499</v>
      </c>
      <c r="C839" t="inlineStr">
        <is>
          <t>INR</t>
        </is>
      </c>
      <c r="D839" t="inlineStr">
        <is>
          <t>captured</t>
        </is>
      </c>
      <c r="E839" t="inlineStr">
        <is>
          <t>order_TUsaCPe8iNTLBo</t>
        </is>
      </c>
      <c r="G839" t="n">
        <v>0</v>
      </c>
      <c r="H839" t="inlineStr">
        <is>
          <t>upi</t>
        </is>
      </c>
      <c r="I839" t="n">
        <v>0</v>
      </c>
      <c r="J839" t="n">
        <v>0</v>
      </c>
      <c r="L839" t="n">
        <v>1</v>
      </c>
      <c r="R839" t="inlineStr">
        <is>
          <t>customer488@example.com</t>
        </is>
      </c>
      <c r="S839">
        <f>+919890253760</f>
        <v/>
      </c>
      <c r="T839" t="inlineStr">
        <is>
          <t>[]</t>
        </is>
      </c>
      <c r="U839" t="n">
        <v>29.98</v>
      </c>
      <c r="V839" t="n">
        <v>5.4</v>
      </c>
      <c r="Y839" s="1" t="n">
        <v>46164.1677199074</v>
      </c>
    </row>
    <row r="840">
      <c r="A840" t="inlineStr">
        <is>
          <t>pay_jJqMfYZ66C9mEv</t>
        </is>
      </c>
      <c r="B840" t="n">
        <v>499</v>
      </c>
      <c r="C840" t="inlineStr">
        <is>
          <t>INR</t>
        </is>
      </c>
      <c r="D840" t="inlineStr">
        <is>
          <t>captured</t>
        </is>
      </c>
      <c r="E840" t="inlineStr">
        <is>
          <t>order_4TgDRaFEhjbeV8</t>
        </is>
      </c>
      <c r="G840" t="n">
        <v>0</v>
      </c>
      <c r="H840" t="inlineStr">
        <is>
          <t>upi</t>
        </is>
      </c>
      <c r="I840" t="n">
        <v>0</v>
      </c>
      <c r="J840" t="n">
        <v>0</v>
      </c>
      <c r="L840" t="n">
        <v>1</v>
      </c>
      <c r="R840" t="inlineStr">
        <is>
          <t>customer828@example.com</t>
        </is>
      </c>
      <c r="S840">
        <f>+919831207317</f>
        <v/>
      </c>
      <c r="T840" t="inlineStr">
        <is>
          <t>[]</t>
        </is>
      </c>
      <c r="U840" t="n">
        <v>9.98</v>
      </c>
      <c r="V840" t="n">
        <v>1.8</v>
      </c>
      <c r="Y840" s="1" t="n">
        <v>46144.95197916667</v>
      </c>
    </row>
    <row r="841">
      <c r="A841" t="inlineStr">
        <is>
          <t>pay_q5Bna7jcLIZQy5</t>
        </is>
      </c>
      <c r="B841" t="n">
        <v>1799</v>
      </c>
      <c r="C841" t="inlineStr">
        <is>
          <t>INR</t>
        </is>
      </c>
      <c r="D841" t="inlineStr">
        <is>
          <t>captured</t>
        </is>
      </c>
      <c r="E841" t="inlineStr">
        <is>
          <t>order_jMmu07zkCXTdFA</t>
        </is>
      </c>
      <c r="G841" t="n">
        <v>0</v>
      </c>
      <c r="H841" t="inlineStr">
        <is>
          <t>card</t>
        </is>
      </c>
      <c r="I841" t="n">
        <v>0</v>
      </c>
      <c r="J841" t="n">
        <v>0</v>
      </c>
      <c r="L841" t="n">
        <v>1</v>
      </c>
      <c r="R841" t="inlineStr">
        <is>
          <t>customer257@example.com</t>
        </is>
      </c>
      <c r="S841">
        <f>+919825350997</f>
        <v/>
      </c>
      <c r="T841" t="inlineStr">
        <is>
          <t>[]</t>
        </is>
      </c>
      <c r="U841" t="n">
        <v>35.98</v>
      </c>
      <c r="V841" t="n">
        <v>6.48</v>
      </c>
      <c r="Y841" s="1" t="n">
        <v>46161.4275462963</v>
      </c>
    </row>
    <row r="842">
      <c r="A842" t="inlineStr">
        <is>
          <t>pay_7BZIXGOkFvGAq4</t>
        </is>
      </c>
      <c r="B842" t="n">
        <v>1799</v>
      </c>
      <c r="C842" t="inlineStr">
        <is>
          <t>INR</t>
        </is>
      </c>
      <c r="D842" t="inlineStr">
        <is>
          <t>captured</t>
        </is>
      </c>
      <c r="E842" t="inlineStr">
        <is>
          <t>order_smpytDy1pmRSCY</t>
        </is>
      </c>
      <c r="G842" t="n">
        <v>0</v>
      </c>
      <c r="H842" t="inlineStr">
        <is>
          <t>upi</t>
        </is>
      </c>
      <c r="I842" t="n">
        <v>0</v>
      </c>
      <c r="J842" t="n">
        <v>0</v>
      </c>
      <c r="L842" t="n">
        <v>1</v>
      </c>
      <c r="R842" t="inlineStr">
        <is>
          <t>customer435@example.com</t>
        </is>
      </c>
      <c r="S842">
        <f>+919814262398</f>
        <v/>
      </c>
      <c r="T842" t="inlineStr">
        <is>
          <t>[]</t>
        </is>
      </c>
      <c r="U842" t="n">
        <v>35.98</v>
      </c>
      <c r="V842" t="n">
        <v>6.48</v>
      </c>
      <c r="Y842" s="1" t="n">
        <v>46146.06877314814</v>
      </c>
    </row>
    <row r="843">
      <c r="A843" t="inlineStr">
        <is>
          <t>pay_LktNsM0EyJMdkw</t>
        </is>
      </c>
      <c r="B843" t="n">
        <v>1799</v>
      </c>
      <c r="C843" t="inlineStr">
        <is>
          <t>INR</t>
        </is>
      </c>
      <c r="D843" t="inlineStr">
        <is>
          <t>captured</t>
        </is>
      </c>
      <c r="E843" t="inlineStr">
        <is>
          <t>order_3W0adTt71ohPl4</t>
        </is>
      </c>
      <c r="G843" t="n">
        <v>0</v>
      </c>
      <c r="H843" t="inlineStr">
        <is>
          <t>upi</t>
        </is>
      </c>
      <c r="I843" t="n">
        <v>0</v>
      </c>
      <c r="J843" t="n">
        <v>0</v>
      </c>
      <c r="L843" t="n">
        <v>1</v>
      </c>
      <c r="R843" t="inlineStr">
        <is>
          <t>customer406@example.com</t>
        </is>
      </c>
      <c r="S843">
        <f>+919835499766</f>
        <v/>
      </c>
      <c r="T843" t="inlineStr">
        <is>
          <t>[]</t>
        </is>
      </c>
      <c r="U843" t="n">
        <v>35.98</v>
      </c>
      <c r="V843" t="n">
        <v>6.48</v>
      </c>
      <c r="Y843" s="1" t="n">
        <v>46167.11717592592</v>
      </c>
    </row>
    <row r="844">
      <c r="A844" t="inlineStr">
        <is>
          <t>pay_MXVrkpAhAzOEAB</t>
        </is>
      </c>
      <c r="B844" t="n">
        <v>1799</v>
      </c>
      <c r="C844" t="inlineStr">
        <is>
          <t>INR</t>
        </is>
      </c>
      <c r="D844" t="inlineStr">
        <is>
          <t>captured</t>
        </is>
      </c>
      <c r="E844" t="inlineStr">
        <is>
          <t>order_ohRgr8DhTscbhI</t>
        </is>
      </c>
      <c r="G844" t="n">
        <v>0</v>
      </c>
      <c r="H844" t="inlineStr">
        <is>
          <t>upi</t>
        </is>
      </c>
      <c r="I844" t="n">
        <v>0</v>
      </c>
      <c r="J844" t="n">
        <v>0</v>
      </c>
      <c r="L844" t="n">
        <v>1</v>
      </c>
      <c r="R844" t="inlineStr">
        <is>
          <t>customer317@example.com</t>
        </is>
      </c>
      <c r="S844">
        <f>+919861252245</f>
        <v/>
      </c>
      <c r="T844" t="inlineStr">
        <is>
          <t>[]</t>
        </is>
      </c>
      <c r="U844" t="n">
        <v>35.98</v>
      </c>
      <c r="V844" t="n">
        <v>6.48</v>
      </c>
      <c r="Y844" s="1" t="n">
        <v>46157.88189814815</v>
      </c>
    </row>
    <row r="845">
      <c r="A845" t="inlineStr">
        <is>
          <t>pay_H4kzSqEiMTF1xH</t>
        </is>
      </c>
      <c r="B845" t="n">
        <v>3999</v>
      </c>
      <c r="C845" t="inlineStr">
        <is>
          <t>INR</t>
        </is>
      </c>
      <c r="D845" t="inlineStr">
        <is>
          <t>captured</t>
        </is>
      </c>
      <c r="E845" t="inlineStr">
        <is>
          <t>order_MVSbdA5OKoh00A</t>
        </is>
      </c>
      <c r="G845" t="n">
        <v>0</v>
      </c>
      <c r="H845" t="inlineStr">
        <is>
          <t>upi</t>
        </is>
      </c>
      <c r="I845" t="n">
        <v>0</v>
      </c>
      <c r="J845" t="n">
        <v>0</v>
      </c>
      <c r="L845" t="n">
        <v>1</v>
      </c>
      <c r="R845" t="inlineStr">
        <is>
          <t>customer538@example.com</t>
        </is>
      </c>
      <c r="S845">
        <f>+919844904481</f>
        <v/>
      </c>
      <c r="T845" t="inlineStr">
        <is>
          <t>[]</t>
        </is>
      </c>
      <c r="U845" t="n">
        <v>79.98</v>
      </c>
      <c r="V845" t="n">
        <v>14.4</v>
      </c>
      <c r="Y845" s="1" t="n">
        <v>46160.19385416667</v>
      </c>
    </row>
    <row r="846">
      <c r="A846" t="inlineStr">
        <is>
          <t>pay_rzA5g8zNCA0hNV</t>
        </is>
      </c>
      <c r="B846" t="n">
        <v>499</v>
      </c>
      <c r="C846" t="inlineStr">
        <is>
          <t>INR</t>
        </is>
      </c>
      <c r="D846" t="inlineStr">
        <is>
          <t>captured</t>
        </is>
      </c>
      <c r="E846" t="inlineStr">
        <is>
          <t>order_3hyt7ZjW4ISEBC</t>
        </is>
      </c>
      <c r="G846" t="n">
        <v>0</v>
      </c>
      <c r="H846" t="inlineStr">
        <is>
          <t>netbanking</t>
        </is>
      </c>
      <c r="I846" t="n">
        <v>0</v>
      </c>
      <c r="J846" t="n">
        <v>0</v>
      </c>
      <c r="L846" t="n">
        <v>1</v>
      </c>
      <c r="R846" t="inlineStr">
        <is>
          <t>customer181@example.com</t>
        </is>
      </c>
      <c r="S846">
        <f>+919824752376</f>
        <v/>
      </c>
      <c r="T846" t="inlineStr">
        <is>
          <t>[]</t>
        </is>
      </c>
      <c r="U846" t="n">
        <v>9.98</v>
      </c>
      <c r="V846" t="n">
        <v>1.8</v>
      </c>
      <c r="Y846" s="1" t="n">
        <v>46146.67712962963</v>
      </c>
    </row>
    <row r="847">
      <c r="A847" t="inlineStr">
        <is>
          <t>pay_bCgwcFUv4i0wmr</t>
        </is>
      </c>
      <c r="B847" t="n">
        <v>999</v>
      </c>
      <c r="C847" t="inlineStr">
        <is>
          <t>INR</t>
        </is>
      </c>
      <c r="D847" t="inlineStr">
        <is>
          <t>captured</t>
        </is>
      </c>
      <c r="E847" t="inlineStr">
        <is>
          <t>order_LIe7Hxh1WCQENr</t>
        </is>
      </c>
      <c r="G847" t="n">
        <v>0</v>
      </c>
      <c r="H847" t="inlineStr">
        <is>
          <t>netbanking</t>
        </is>
      </c>
      <c r="I847" t="n">
        <v>0</v>
      </c>
      <c r="J847" t="n">
        <v>0</v>
      </c>
      <c r="L847" t="n">
        <v>1</v>
      </c>
      <c r="R847" t="inlineStr">
        <is>
          <t>customer613@example.com</t>
        </is>
      </c>
      <c r="S847">
        <f>+919856560274</f>
        <v/>
      </c>
      <c r="T847" t="inlineStr">
        <is>
          <t>[]</t>
        </is>
      </c>
      <c r="U847" t="n">
        <v>19.98</v>
      </c>
      <c r="V847" t="n">
        <v>3.6</v>
      </c>
      <c r="Y847" s="1" t="n">
        <v>46154.50600694444</v>
      </c>
    </row>
    <row r="848">
      <c r="A848" t="inlineStr">
        <is>
          <t>pay_Ra9KfrchLM48hq</t>
        </is>
      </c>
      <c r="B848" t="n">
        <v>3999</v>
      </c>
      <c r="C848" t="inlineStr">
        <is>
          <t>INR</t>
        </is>
      </c>
      <c r="D848" t="inlineStr">
        <is>
          <t>captured</t>
        </is>
      </c>
      <c r="E848" t="inlineStr">
        <is>
          <t>order_iuN1GZT7qb9Wb1</t>
        </is>
      </c>
      <c r="G848" t="n">
        <v>0</v>
      </c>
      <c r="H848" t="inlineStr">
        <is>
          <t>card</t>
        </is>
      </c>
      <c r="I848" t="n">
        <v>0</v>
      </c>
      <c r="J848" t="n">
        <v>0</v>
      </c>
      <c r="L848" t="n">
        <v>1</v>
      </c>
      <c r="R848" t="inlineStr">
        <is>
          <t>customer130@example.com</t>
        </is>
      </c>
      <c r="S848">
        <f>+919830668596</f>
        <v/>
      </c>
      <c r="T848" t="inlineStr">
        <is>
          <t>[]</t>
        </is>
      </c>
      <c r="U848" t="n">
        <v>79.98</v>
      </c>
      <c r="V848" t="n">
        <v>14.4</v>
      </c>
      <c r="Y848" s="1" t="n">
        <v>46159.19196759259</v>
      </c>
    </row>
    <row r="849">
      <c r="A849" t="inlineStr">
        <is>
          <t>pay_lga4y8lpxxtbV3</t>
        </is>
      </c>
      <c r="B849" t="n">
        <v>999</v>
      </c>
      <c r="C849" t="inlineStr">
        <is>
          <t>INR</t>
        </is>
      </c>
      <c r="D849" t="inlineStr">
        <is>
          <t>captured</t>
        </is>
      </c>
      <c r="E849" t="inlineStr">
        <is>
          <t>order_M1SSZeqpkT9JDt</t>
        </is>
      </c>
      <c r="G849" t="n">
        <v>0</v>
      </c>
      <c r="H849" t="inlineStr">
        <is>
          <t>upi</t>
        </is>
      </c>
      <c r="I849" t="n">
        <v>0</v>
      </c>
      <c r="J849" t="n">
        <v>0</v>
      </c>
      <c r="L849" t="n">
        <v>1</v>
      </c>
      <c r="R849" t="inlineStr">
        <is>
          <t>customer457@example.com</t>
        </is>
      </c>
      <c r="S849">
        <f>+919851236095</f>
        <v/>
      </c>
      <c r="T849" t="inlineStr">
        <is>
          <t>[]</t>
        </is>
      </c>
      <c r="U849" t="n">
        <v>19.98</v>
      </c>
      <c r="V849" t="n">
        <v>3.6</v>
      </c>
      <c r="Y849" s="1" t="n">
        <v>46168.86721064815</v>
      </c>
    </row>
    <row r="850">
      <c r="A850" t="inlineStr">
        <is>
          <t>pay_XKsgFuAa1EiZOq</t>
        </is>
      </c>
      <c r="B850" t="n">
        <v>999</v>
      </c>
      <c r="C850" t="inlineStr">
        <is>
          <t>INR</t>
        </is>
      </c>
      <c r="D850" t="inlineStr">
        <is>
          <t>captured</t>
        </is>
      </c>
      <c r="E850" t="inlineStr">
        <is>
          <t>order_VjAWPNpP1QFmfj</t>
        </is>
      </c>
      <c r="G850" t="n">
        <v>0</v>
      </c>
      <c r="H850" t="inlineStr">
        <is>
          <t>upi</t>
        </is>
      </c>
      <c r="I850" t="n">
        <v>0</v>
      </c>
      <c r="J850" t="n">
        <v>0</v>
      </c>
      <c r="L850" t="n">
        <v>1</v>
      </c>
      <c r="R850" t="inlineStr">
        <is>
          <t>customer616@example.com</t>
        </is>
      </c>
      <c r="S850">
        <f>+919834471558</f>
        <v/>
      </c>
      <c r="T850" t="inlineStr">
        <is>
          <t>[]</t>
        </is>
      </c>
      <c r="U850" t="n">
        <v>19.98</v>
      </c>
      <c r="V850" t="n">
        <v>3.6</v>
      </c>
      <c r="Y850" s="1" t="n">
        <v>46153.77112268518</v>
      </c>
    </row>
    <row r="851">
      <c r="A851" t="inlineStr">
        <is>
          <t>pay_pQjqKeC2DmqHnd</t>
        </is>
      </c>
      <c r="B851" t="n">
        <v>999</v>
      </c>
      <c r="C851" t="inlineStr">
        <is>
          <t>INR</t>
        </is>
      </c>
      <c r="D851" t="inlineStr">
        <is>
          <t>captured</t>
        </is>
      </c>
      <c r="E851" t="inlineStr">
        <is>
          <t>order_33Nz5vAuynahzp</t>
        </is>
      </c>
      <c r="G851" t="n">
        <v>0</v>
      </c>
      <c r="H851" t="inlineStr">
        <is>
          <t>upi</t>
        </is>
      </c>
      <c r="I851" t="n">
        <v>0</v>
      </c>
      <c r="J851" t="n">
        <v>0</v>
      </c>
      <c r="L851" t="n">
        <v>1</v>
      </c>
      <c r="R851" t="inlineStr">
        <is>
          <t>customer450@example.com</t>
        </is>
      </c>
      <c r="S851">
        <f>+919811380055</f>
        <v/>
      </c>
      <c r="T851" t="inlineStr">
        <is>
          <t>[]</t>
        </is>
      </c>
      <c r="U851" t="n">
        <v>19.98</v>
      </c>
      <c r="V851" t="n">
        <v>3.6</v>
      </c>
      <c r="Y851" s="1" t="n">
        <v>46153.73996527777</v>
      </c>
    </row>
    <row r="852">
      <c r="A852" t="inlineStr">
        <is>
          <t>pay_OgoCzePchpVgG7</t>
        </is>
      </c>
      <c r="B852" t="n">
        <v>999</v>
      </c>
      <c r="C852" t="inlineStr">
        <is>
          <t>INR</t>
        </is>
      </c>
      <c r="D852" t="inlineStr">
        <is>
          <t>captured</t>
        </is>
      </c>
      <c r="E852" t="inlineStr">
        <is>
          <t>order_4LREQOvMbBEthE</t>
        </is>
      </c>
      <c r="G852" t="n">
        <v>0</v>
      </c>
      <c r="H852" t="inlineStr">
        <is>
          <t>netbanking</t>
        </is>
      </c>
      <c r="I852" t="n">
        <v>0</v>
      </c>
      <c r="J852" t="n">
        <v>0</v>
      </c>
      <c r="L852" t="n">
        <v>1</v>
      </c>
      <c r="R852" t="inlineStr">
        <is>
          <t>customer723@example.com</t>
        </is>
      </c>
      <c r="S852">
        <f>+919870998663</f>
        <v/>
      </c>
      <c r="T852" t="inlineStr">
        <is>
          <t>[]</t>
        </is>
      </c>
      <c r="U852" t="n">
        <v>19.98</v>
      </c>
      <c r="V852" t="n">
        <v>3.6</v>
      </c>
      <c r="Y852" s="1" t="n">
        <v>46149.86596064815</v>
      </c>
    </row>
    <row r="853">
      <c r="A853" t="inlineStr">
        <is>
          <t>pay_3n05peBTNP46od</t>
        </is>
      </c>
      <c r="B853" t="n">
        <v>1799</v>
      </c>
      <c r="C853" t="inlineStr">
        <is>
          <t>INR</t>
        </is>
      </c>
      <c r="D853" t="inlineStr">
        <is>
          <t>failed</t>
        </is>
      </c>
      <c r="E853" t="inlineStr">
        <is>
          <t>order_o3nrMcmO5qysFC</t>
        </is>
      </c>
      <c r="G853" t="n">
        <v>0</v>
      </c>
      <c r="H853" t="inlineStr">
        <is>
          <t>upi</t>
        </is>
      </c>
      <c r="I853" t="n">
        <v>0</v>
      </c>
      <c r="J853" t="n">
        <v>0</v>
      </c>
      <c r="L853" t="n">
        <v>0</v>
      </c>
      <c r="R853" t="inlineStr">
        <is>
          <t>customer591@example.com</t>
        </is>
      </c>
      <c r="S853">
        <f>+919869560167</f>
        <v/>
      </c>
      <c r="T853" t="inlineStr">
        <is>
          <t>[]</t>
        </is>
      </c>
      <c r="W853" t="inlineStr">
        <is>
          <t>BAD_REQUEST_ERROR</t>
        </is>
      </c>
      <c r="X853" t="inlineStr">
        <is>
          <t>Payment was not completed on time</t>
        </is>
      </c>
      <c r="Y853" s="1" t="n">
        <v>46163.12868055556</v>
      </c>
    </row>
    <row r="854">
      <c r="A854" t="inlineStr">
        <is>
          <t>pay_fcYveZbeojziyR</t>
        </is>
      </c>
      <c r="B854" t="n">
        <v>1799</v>
      </c>
      <c r="C854" t="inlineStr">
        <is>
          <t>INR</t>
        </is>
      </c>
      <c r="D854" t="inlineStr">
        <is>
          <t>captured</t>
        </is>
      </c>
      <c r="E854" t="inlineStr">
        <is>
          <t>order_o3nrMcmO5qysFC</t>
        </is>
      </c>
      <c r="G854" t="n">
        <v>0</v>
      </c>
      <c r="H854" t="inlineStr">
        <is>
          <t>upi</t>
        </is>
      </c>
      <c r="I854" t="n">
        <v>0</v>
      </c>
      <c r="J854" t="n">
        <v>0</v>
      </c>
      <c r="L854" t="n">
        <v>1</v>
      </c>
      <c r="R854" t="inlineStr">
        <is>
          <t>customer844@example.com</t>
        </is>
      </c>
      <c r="S854">
        <f>+919879321275</f>
        <v/>
      </c>
      <c r="T854" t="inlineStr">
        <is>
          <t>[]</t>
        </is>
      </c>
      <c r="U854" t="n">
        <v>35.98</v>
      </c>
      <c r="V854" t="n">
        <v>6.48</v>
      </c>
      <c r="Y854" s="1" t="n">
        <v>46163.12965277778</v>
      </c>
    </row>
    <row r="855">
      <c r="A855" t="inlineStr">
        <is>
          <t>pay_kh53UyFt3WqQxF</t>
        </is>
      </c>
      <c r="B855" t="n">
        <v>2499</v>
      </c>
      <c r="C855" t="inlineStr">
        <is>
          <t>INR</t>
        </is>
      </c>
      <c r="D855" t="inlineStr">
        <is>
          <t>captured</t>
        </is>
      </c>
      <c r="E855" t="inlineStr">
        <is>
          <t>order_Eqb2XxE1dtETJd</t>
        </is>
      </c>
      <c r="G855" t="n">
        <v>0</v>
      </c>
      <c r="H855" t="inlineStr">
        <is>
          <t>upi</t>
        </is>
      </c>
      <c r="I855" t="n">
        <v>0</v>
      </c>
      <c r="J855" t="n">
        <v>0</v>
      </c>
      <c r="L855" t="n">
        <v>1</v>
      </c>
      <c r="R855" t="inlineStr">
        <is>
          <t>customer518@example.com</t>
        </is>
      </c>
      <c r="S855">
        <f>+919896687661</f>
        <v/>
      </c>
      <c r="T855" t="inlineStr">
        <is>
          <t>[]</t>
        </is>
      </c>
      <c r="U855" t="n">
        <v>49.98</v>
      </c>
      <c r="V855" t="n">
        <v>9</v>
      </c>
      <c r="Y855" s="1" t="n">
        <v>46151.74689814815</v>
      </c>
    </row>
    <row r="856">
      <c r="A856" t="inlineStr">
        <is>
          <t>pay_HEVGnkxshw8lKe</t>
        </is>
      </c>
      <c r="B856" t="n">
        <v>1799</v>
      </c>
      <c r="C856" t="inlineStr">
        <is>
          <t>INR</t>
        </is>
      </c>
      <c r="D856" t="inlineStr">
        <is>
          <t>failed</t>
        </is>
      </c>
      <c r="E856" t="inlineStr">
        <is>
          <t>order_TyLyvQVsPDgWho</t>
        </is>
      </c>
      <c r="G856" t="n">
        <v>0</v>
      </c>
      <c r="H856" t="inlineStr">
        <is>
          <t>card</t>
        </is>
      </c>
      <c r="I856" t="n">
        <v>0</v>
      </c>
      <c r="J856" t="n">
        <v>0</v>
      </c>
      <c r="L856" t="n">
        <v>0</v>
      </c>
      <c r="R856" t="inlineStr">
        <is>
          <t>customer687@example.com</t>
        </is>
      </c>
      <c r="S856">
        <f>+919891109526</f>
        <v/>
      </c>
      <c r="T856" t="inlineStr">
        <is>
          <t>[]</t>
        </is>
      </c>
      <c r="W856" t="inlineStr">
        <is>
          <t>BAD_REQUEST_ERROR</t>
        </is>
      </c>
      <c r="X856" t="inlineStr">
        <is>
          <t>Payment cancelled by user</t>
        </is>
      </c>
      <c r="Y856" s="1" t="n">
        <v>46166.4146412037</v>
      </c>
    </row>
    <row r="857">
      <c r="A857" t="inlineStr">
        <is>
          <t>pay_dcQmA6QqwCuuCY</t>
        </is>
      </c>
      <c r="B857" t="n">
        <v>1499</v>
      </c>
      <c r="C857" t="inlineStr">
        <is>
          <t>INR</t>
        </is>
      </c>
      <c r="D857" t="inlineStr">
        <is>
          <t>captured</t>
        </is>
      </c>
      <c r="E857" t="inlineStr">
        <is>
          <t>order_hj92MOeM7p7CMb</t>
        </is>
      </c>
      <c r="G857" t="n">
        <v>0</v>
      </c>
      <c r="H857" t="inlineStr">
        <is>
          <t>upi</t>
        </is>
      </c>
      <c r="I857" t="n">
        <v>0</v>
      </c>
      <c r="J857" t="n">
        <v>0</v>
      </c>
      <c r="L857" t="n">
        <v>1</v>
      </c>
      <c r="R857" t="inlineStr">
        <is>
          <t>customer647@example.com</t>
        </is>
      </c>
      <c r="S857">
        <f>+919853880786</f>
        <v/>
      </c>
      <c r="T857" t="inlineStr">
        <is>
          <t>[]</t>
        </is>
      </c>
      <c r="U857" t="n">
        <v>29.98</v>
      </c>
      <c r="V857" t="n">
        <v>5.4</v>
      </c>
      <c r="Y857" s="1" t="n">
        <v>46173.34711805556</v>
      </c>
    </row>
    <row r="858">
      <c r="A858" t="inlineStr">
        <is>
          <t>pay_aaq0as4afjCRMi</t>
        </is>
      </c>
      <c r="B858" t="n">
        <v>1799</v>
      </c>
      <c r="C858" t="inlineStr">
        <is>
          <t>INR</t>
        </is>
      </c>
      <c r="D858" t="inlineStr">
        <is>
          <t>captured</t>
        </is>
      </c>
      <c r="E858" t="inlineStr">
        <is>
          <t>order_KYFyuXx8uWQuKR</t>
        </is>
      </c>
      <c r="G858" t="n">
        <v>0</v>
      </c>
      <c r="H858" t="inlineStr">
        <is>
          <t>upi</t>
        </is>
      </c>
      <c r="I858" t="n">
        <v>0</v>
      </c>
      <c r="J858" t="n">
        <v>0</v>
      </c>
      <c r="L858" t="n">
        <v>1</v>
      </c>
      <c r="R858" t="inlineStr">
        <is>
          <t>customer169@example.com</t>
        </is>
      </c>
      <c r="S858">
        <f>+919848800211</f>
        <v/>
      </c>
      <c r="T858" t="inlineStr">
        <is>
          <t>[]</t>
        </is>
      </c>
      <c r="U858" t="n">
        <v>35.98</v>
      </c>
      <c r="V858" t="n">
        <v>6.48</v>
      </c>
      <c r="Y858" s="1" t="n">
        <v>46154.35731481481</v>
      </c>
    </row>
    <row r="859">
      <c r="A859" t="inlineStr">
        <is>
          <t>pay_i0f1AQOZEmmzvp</t>
        </is>
      </c>
      <c r="B859" t="n">
        <v>1799</v>
      </c>
      <c r="C859" t="inlineStr">
        <is>
          <t>INR</t>
        </is>
      </c>
      <c r="D859" t="inlineStr">
        <is>
          <t>captured</t>
        </is>
      </c>
      <c r="E859" t="inlineStr">
        <is>
          <t>order_sgcZex8i1Jj40c</t>
        </is>
      </c>
      <c r="G859" t="n">
        <v>0</v>
      </c>
      <c r="H859" t="inlineStr">
        <is>
          <t>netbanking</t>
        </is>
      </c>
      <c r="I859" t="n">
        <v>0</v>
      </c>
      <c r="J859" t="n">
        <v>0</v>
      </c>
      <c r="L859" t="n">
        <v>1</v>
      </c>
      <c r="R859" t="inlineStr">
        <is>
          <t>customer608@example.com</t>
        </is>
      </c>
      <c r="S859">
        <f>+919882980797</f>
        <v/>
      </c>
      <c r="T859" t="inlineStr">
        <is>
          <t>[]</t>
        </is>
      </c>
      <c r="U859" t="n">
        <v>35.98</v>
      </c>
      <c r="V859" t="n">
        <v>6.48</v>
      </c>
      <c r="Y859" s="1" t="n">
        <v>46147.04679398148</v>
      </c>
    </row>
    <row r="860">
      <c r="A860" t="inlineStr">
        <is>
          <t>pay_MZdUfTsmOOEZNr</t>
        </is>
      </c>
      <c r="B860" t="n">
        <v>2499</v>
      </c>
      <c r="C860" t="inlineStr">
        <is>
          <t>INR</t>
        </is>
      </c>
      <c r="D860" t="inlineStr">
        <is>
          <t>captured</t>
        </is>
      </c>
      <c r="E860" t="inlineStr">
        <is>
          <t>order_fdrJ03ldgbzk6Y</t>
        </is>
      </c>
      <c r="G860" t="n">
        <v>0</v>
      </c>
      <c r="H860" t="inlineStr">
        <is>
          <t>upi</t>
        </is>
      </c>
      <c r="I860" t="n">
        <v>0</v>
      </c>
      <c r="J860" t="n">
        <v>0</v>
      </c>
      <c r="L860" t="n">
        <v>1</v>
      </c>
      <c r="R860" t="inlineStr">
        <is>
          <t>customer616@example.com</t>
        </is>
      </c>
      <c r="S860">
        <f>+919811531379</f>
        <v/>
      </c>
      <c r="T860" t="inlineStr">
        <is>
          <t>[]</t>
        </is>
      </c>
      <c r="U860" t="n">
        <v>49.98</v>
      </c>
      <c r="V860" t="n">
        <v>9</v>
      </c>
      <c r="Y860" s="1" t="n">
        <v>46154.08878472223</v>
      </c>
    </row>
    <row r="861">
      <c r="A861" t="inlineStr">
        <is>
          <t>pay_cwSSXsQ965WCJb</t>
        </is>
      </c>
      <c r="B861" t="n">
        <v>1799</v>
      </c>
      <c r="C861" t="inlineStr">
        <is>
          <t>INR</t>
        </is>
      </c>
      <c r="D861" t="inlineStr">
        <is>
          <t>captured</t>
        </is>
      </c>
      <c r="E861" t="inlineStr">
        <is>
          <t>order_E5AVw92OCOasa2</t>
        </is>
      </c>
      <c r="G861" t="n">
        <v>0</v>
      </c>
      <c r="H861" t="inlineStr">
        <is>
          <t>upi</t>
        </is>
      </c>
      <c r="I861" t="n">
        <v>0</v>
      </c>
      <c r="J861" t="n">
        <v>0</v>
      </c>
      <c r="L861" t="n">
        <v>1</v>
      </c>
      <c r="R861" t="inlineStr">
        <is>
          <t>customer392@example.com</t>
        </is>
      </c>
      <c r="S861">
        <f>+919890858393</f>
        <v/>
      </c>
      <c r="T861" t="inlineStr">
        <is>
          <t>[]</t>
        </is>
      </c>
      <c r="U861" t="n">
        <v>35.98</v>
      </c>
      <c r="V861" t="n">
        <v>6.48</v>
      </c>
      <c r="Y861" s="1" t="n">
        <v>46154.03541666667</v>
      </c>
    </row>
    <row r="862">
      <c r="A862" t="inlineStr">
        <is>
          <t>pay_8ddXoA9Szifdul</t>
        </is>
      </c>
      <c r="B862" t="n">
        <v>1799</v>
      </c>
      <c r="C862" t="inlineStr">
        <is>
          <t>INR</t>
        </is>
      </c>
      <c r="D862" t="inlineStr">
        <is>
          <t>failed</t>
        </is>
      </c>
      <c r="E862" t="inlineStr">
        <is>
          <t>order_7aAL2dNShhjAKj</t>
        </is>
      </c>
      <c r="G862" t="n">
        <v>0</v>
      </c>
      <c r="H862" t="inlineStr">
        <is>
          <t>upi</t>
        </is>
      </c>
      <c r="I862" t="n">
        <v>0</v>
      </c>
      <c r="J862" t="n">
        <v>0</v>
      </c>
      <c r="L862" t="n">
        <v>0</v>
      </c>
      <c r="R862" t="inlineStr">
        <is>
          <t>customer472@example.com</t>
        </is>
      </c>
      <c r="S862">
        <f>+919840771654</f>
        <v/>
      </c>
      <c r="T862" t="inlineStr">
        <is>
          <t>[]</t>
        </is>
      </c>
      <c r="W862" t="inlineStr">
        <is>
          <t>BAD_REQUEST_ERROR</t>
        </is>
      </c>
      <c r="X862" t="inlineStr">
        <is>
          <t>Payment was not completed on time</t>
        </is>
      </c>
      <c r="Y862" s="1" t="n">
        <v>46162.33732638889</v>
      </c>
    </row>
    <row r="863">
      <c r="A863" t="inlineStr">
        <is>
          <t>pay_Yx4LgIFiexQH4a</t>
        </is>
      </c>
      <c r="B863" t="n">
        <v>1799</v>
      </c>
      <c r="C863" t="inlineStr">
        <is>
          <t>INR</t>
        </is>
      </c>
      <c r="D863" t="inlineStr">
        <is>
          <t>captured</t>
        </is>
      </c>
      <c r="E863" t="inlineStr">
        <is>
          <t>order_7aAL2dNShhjAKj</t>
        </is>
      </c>
      <c r="G863" t="n">
        <v>0</v>
      </c>
      <c r="H863" t="inlineStr">
        <is>
          <t>card</t>
        </is>
      </c>
      <c r="I863" t="n">
        <v>0</v>
      </c>
      <c r="J863" t="n">
        <v>0</v>
      </c>
      <c r="L863" t="n">
        <v>1</v>
      </c>
      <c r="R863" t="inlineStr">
        <is>
          <t>customer705@example.com</t>
        </is>
      </c>
      <c r="S863">
        <f>+919860013341</f>
        <v/>
      </c>
      <c r="T863" t="inlineStr">
        <is>
          <t>[]</t>
        </is>
      </c>
      <c r="U863" t="n">
        <v>35.98</v>
      </c>
      <c r="V863" t="n">
        <v>6.48</v>
      </c>
      <c r="Y863" s="1" t="n">
        <v>46162.34207175926</v>
      </c>
    </row>
    <row r="864">
      <c r="A864" t="inlineStr">
        <is>
          <t>pay_op3HhOzg5YKoeq</t>
        </is>
      </c>
      <c r="B864" t="n">
        <v>999</v>
      </c>
      <c r="C864" t="inlineStr">
        <is>
          <t>INR</t>
        </is>
      </c>
      <c r="D864" t="inlineStr">
        <is>
          <t>captured</t>
        </is>
      </c>
      <c r="E864" t="inlineStr">
        <is>
          <t>order_cUpHJ3q4ZvusML</t>
        </is>
      </c>
      <c r="G864" t="n">
        <v>0</v>
      </c>
      <c r="H864" t="inlineStr">
        <is>
          <t>upi</t>
        </is>
      </c>
      <c r="I864" t="n">
        <v>0</v>
      </c>
      <c r="J864" t="n">
        <v>0</v>
      </c>
      <c r="L864" t="n">
        <v>1</v>
      </c>
      <c r="R864" t="inlineStr">
        <is>
          <t>customer234@example.com</t>
        </is>
      </c>
      <c r="S864">
        <f>+919836946307</f>
        <v/>
      </c>
      <c r="T864" t="inlineStr">
        <is>
          <t>[]</t>
        </is>
      </c>
      <c r="U864" t="n">
        <v>19.98</v>
      </c>
      <c r="V864" t="n">
        <v>3.6</v>
      </c>
      <c r="Y864" s="1" t="n">
        <v>46146.38170138889</v>
      </c>
    </row>
    <row r="865">
      <c r="A865" t="inlineStr">
        <is>
          <t>pay_2O3bo7lWFnLL0n</t>
        </is>
      </c>
      <c r="B865" t="n">
        <v>2499</v>
      </c>
      <c r="C865" t="inlineStr">
        <is>
          <t>INR</t>
        </is>
      </c>
      <c r="D865" t="inlineStr">
        <is>
          <t>captured</t>
        </is>
      </c>
      <c r="E865" t="inlineStr">
        <is>
          <t>order_4LNhOTtnUpfQzA</t>
        </is>
      </c>
      <c r="G865" t="n">
        <v>0</v>
      </c>
      <c r="H865" t="inlineStr">
        <is>
          <t>upi</t>
        </is>
      </c>
      <c r="I865" t="n">
        <v>0</v>
      </c>
      <c r="J865" t="n">
        <v>0</v>
      </c>
      <c r="L865" t="n">
        <v>1</v>
      </c>
      <c r="R865" t="inlineStr">
        <is>
          <t>customer859@example.com</t>
        </is>
      </c>
      <c r="S865">
        <f>+919885400660</f>
        <v/>
      </c>
      <c r="T865" t="inlineStr">
        <is>
          <t>[]</t>
        </is>
      </c>
      <c r="U865" t="n">
        <v>49.98</v>
      </c>
      <c r="V865" t="n">
        <v>9</v>
      </c>
      <c r="Y865" s="1" t="n">
        <v>46170.25613425926</v>
      </c>
    </row>
    <row r="866">
      <c r="A866" t="inlineStr">
        <is>
          <t>pay_VkEEZkWQ3hJdvr</t>
        </is>
      </c>
      <c r="B866" t="n">
        <v>3999</v>
      </c>
      <c r="C866" t="inlineStr">
        <is>
          <t>INR</t>
        </is>
      </c>
      <c r="D866" t="inlineStr">
        <is>
          <t>captured</t>
        </is>
      </c>
      <c r="E866" t="inlineStr">
        <is>
          <t>order_MDQL6McXnOhDSg</t>
        </is>
      </c>
      <c r="G866" t="n">
        <v>0</v>
      </c>
      <c r="H866" t="inlineStr">
        <is>
          <t>upi</t>
        </is>
      </c>
      <c r="I866" t="n">
        <v>0</v>
      </c>
      <c r="J866" t="n">
        <v>0</v>
      </c>
      <c r="L866" t="n">
        <v>1</v>
      </c>
      <c r="R866" t="inlineStr">
        <is>
          <t>customer475@example.com</t>
        </is>
      </c>
      <c r="S866">
        <f>+919859444914</f>
        <v/>
      </c>
      <c r="T866" t="inlineStr">
        <is>
          <t>[]</t>
        </is>
      </c>
      <c r="U866" t="n">
        <v>79.98</v>
      </c>
      <c r="V866" t="n">
        <v>14.4</v>
      </c>
      <c r="Y866" s="1" t="n">
        <v>46172.97413194444</v>
      </c>
    </row>
    <row r="867">
      <c r="A867" t="inlineStr">
        <is>
          <t>pay_ZXrj41erC6lUix</t>
        </is>
      </c>
      <c r="B867" t="n">
        <v>1499</v>
      </c>
      <c r="C867" t="inlineStr">
        <is>
          <t>INR</t>
        </is>
      </c>
      <c r="D867" t="inlineStr">
        <is>
          <t>captured</t>
        </is>
      </c>
      <c r="E867" t="inlineStr">
        <is>
          <t>order_pammzlweagRma7</t>
        </is>
      </c>
      <c r="G867" t="n">
        <v>0</v>
      </c>
      <c r="H867" t="inlineStr">
        <is>
          <t>upi</t>
        </is>
      </c>
      <c r="I867" t="n">
        <v>0</v>
      </c>
      <c r="J867" t="n">
        <v>0</v>
      </c>
      <c r="L867" t="n">
        <v>1</v>
      </c>
      <c r="R867" t="inlineStr">
        <is>
          <t>customer753@example.com</t>
        </is>
      </c>
      <c r="S867">
        <f>+919868006925</f>
        <v/>
      </c>
      <c r="T867" t="inlineStr">
        <is>
          <t>[]</t>
        </is>
      </c>
      <c r="U867" t="n">
        <v>29.98</v>
      </c>
      <c r="V867" t="n">
        <v>5.4</v>
      </c>
      <c r="Y867" s="1" t="n">
        <v>46147.45960648148</v>
      </c>
    </row>
    <row r="868">
      <c r="A868" t="inlineStr">
        <is>
          <t>pay_CsoKHxS0XZua7S</t>
        </is>
      </c>
      <c r="B868" t="n">
        <v>2499</v>
      </c>
      <c r="C868" t="inlineStr">
        <is>
          <t>INR</t>
        </is>
      </c>
      <c r="D868" t="inlineStr">
        <is>
          <t>captured</t>
        </is>
      </c>
      <c r="E868" t="inlineStr">
        <is>
          <t>order_FpgPrWSXYZsIhX</t>
        </is>
      </c>
      <c r="G868" t="n">
        <v>0</v>
      </c>
      <c r="H868" t="inlineStr">
        <is>
          <t>upi</t>
        </is>
      </c>
      <c r="I868" t="n">
        <v>0</v>
      </c>
      <c r="J868" t="n">
        <v>0</v>
      </c>
      <c r="L868" t="n">
        <v>1</v>
      </c>
      <c r="R868" t="inlineStr">
        <is>
          <t>customer535@example.com</t>
        </is>
      </c>
      <c r="S868">
        <f>+919897212863</f>
        <v/>
      </c>
      <c r="T868" t="inlineStr">
        <is>
          <t>[]</t>
        </is>
      </c>
      <c r="U868" t="n">
        <v>49.98</v>
      </c>
      <c r="V868" t="n">
        <v>9</v>
      </c>
      <c r="Y868" s="1" t="n">
        <v>46166.47310185185</v>
      </c>
    </row>
    <row r="869">
      <c r="A869" t="inlineStr">
        <is>
          <t>pay_iSinODdnwR2Egn</t>
        </is>
      </c>
      <c r="B869" t="n">
        <v>499</v>
      </c>
      <c r="C869" t="inlineStr">
        <is>
          <t>INR</t>
        </is>
      </c>
      <c r="D869" t="inlineStr">
        <is>
          <t>captured</t>
        </is>
      </c>
      <c r="E869" t="inlineStr">
        <is>
          <t>order_bCS4SNhVnOP7yK</t>
        </is>
      </c>
      <c r="G869" t="n">
        <v>0</v>
      </c>
      <c r="H869" t="inlineStr">
        <is>
          <t>upi</t>
        </is>
      </c>
      <c r="I869" t="n">
        <v>0</v>
      </c>
      <c r="J869" t="n">
        <v>0</v>
      </c>
      <c r="L869" t="n">
        <v>1</v>
      </c>
      <c r="R869" t="inlineStr">
        <is>
          <t>customer647@example.com</t>
        </is>
      </c>
      <c r="S869">
        <f>+919859465991</f>
        <v/>
      </c>
      <c r="T869" t="inlineStr">
        <is>
          <t>[]</t>
        </is>
      </c>
      <c r="U869" t="n">
        <v>9.98</v>
      </c>
      <c r="V869" t="n">
        <v>1.8</v>
      </c>
      <c r="Y869" s="1" t="n">
        <v>46162.26961805556</v>
      </c>
    </row>
    <row r="870">
      <c r="A870" t="inlineStr">
        <is>
          <t>pay_zDjRtN6A6VCWUY</t>
        </is>
      </c>
      <c r="B870" t="n">
        <v>2499</v>
      </c>
      <c r="C870" t="inlineStr">
        <is>
          <t>INR</t>
        </is>
      </c>
      <c r="D870" t="inlineStr">
        <is>
          <t>captured</t>
        </is>
      </c>
      <c r="E870" t="inlineStr">
        <is>
          <t>order_A46UtBSSuSLmWi</t>
        </is>
      </c>
      <c r="G870" t="n">
        <v>0</v>
      </c>
      <c r="H870" t="inlineStr">
        <is>
          <t>upi</t>
        </is>
      </c>
      <c r="I870" t="n">
        <v>0</v>
      </c>
      <c r="J870" t="n">
        <v>0</v>
      </c>
      <c r="L870" t="n">
        <v>1</v>
      </c>
      <c r="R870" t="inlineStr">
        <is>
          <t>customer398@example.com</t>
        </is>
      </c>
      <c r="S870">
        <f>+919863161065</f>
        <v/>
      </c>
      <c r="T870" t="inlineStr">
        <is>
          <t>[]</t>
        </is>
      </c>
      <c r="U870" t="n">
        <v>49.98</v>
      </c>
      <c r="V870" t="n">
        <v>9</v>
      </c>
      <c r="Y870" s="1" t="n">
        <v>46153.25626157408</v>
      </c>
    </row>
    <row r="871">
      <c r="A871" t="inlineStr">
        <is>
          <t>pay_SHjzDtPYsFBqmD</t>
        </is>
      </c>
      <c r="B871" t="n">
        <v>2499</v>
      </c>
      <c r="C871" t="inlineStr">
        <is>
          <t>INR</t>
        </is>
      </c>
      <c r="D871" t="inlineStr">
        <is>
          <t>failed</t>
        </is>
      </c>
      <c r="E871" t="inlineStr">
        <is>
          <t>order_p8UkvQLREyX6ov</t>
        </is>
      </c>
      <c r="G871" t="n">
        <v>0</v>
      </c>
      <c r="H871" t="inlineStr">
        <is>
          <t>netbanking</t>
        </is>
      </c>
      <c r="I871" t="n">
        <v>0</v>
      </c>
      <c r="J871" t="n">
        <v>0</v>
      </c>
      <c r="L871" t="n">
        <v>0</v>
      </c>
      <c r="R871" t="inlineStr">
        <is>
          <t>customer283@example.com</t>
        </is>
      </c>
      <c r="S871">
        <f>+919856491577</f>
        <v/>
      </c>
      <c r="T871" t="inlineStr">
        <is>
          <t>[]</t>
        </is>
      </c>
      <c r="W871" t="inlineStr">
        <is>
          <t>BAD_REQUEST_ERROR</t>
        </is>
      </c>
      <c r="X871" t="inlineStr">
        <is>
          <t>Bank server unavailable</t>
        </is>
      </c>
      <c r="Y871" s="1" t="n">
        <v>46150.32076388889</v>
      </c>
    </row>
    <row r="872">
      <c r="A872" t="inlineStr">
        <is>
          <t>pay_xBu8cTgQRl7k8m</t>
        </is>
      </c>
      <c r="B872" t="n">
        <v>2499</v>
      </c>
      <c r="C872" t="inlineStr">
        <is>
          <t>INR</t>
        </is>
      </c>
      <c r="D872" t="inlineStr">
        <is>
          <t>captured</t>
        </is>
      </c>
      <c r="E872" t="inlineStr">
        <is>
          <t>order_p8UkvQLREyX6ov</t>
        </is>
      </c>
      <c r="G872" t="n">
        <v>0</v>
      </c>
      <c r="H872" t="inlineStr">
        <is>
          <t>netbanking</t>
        </is>
      </c>
      <c r="I872" t="n">
        <v>0</v>
      </c>
      <c r="J872" t="n">
        <v>0</v>
      </c>
      <c r="L872" t="n">
        <v>1</v>
      </c>
      <c r="R872" t="inlineStr">
        <is>
          <t>customer406@example.com</t>
        </is>
      </c>
      <c r="S872">
        <f>+919829282365</f>
        <v/>
      </c>
      <c r="T872" t="inlineStr">
        <is>
          <t>[]</t>
        </is>
      </c>
      <c r="U872" t="n">
        <v>49.98</v>
      </c>
      <c r="V872" t="n">
        <v>9</v>
      </c>
      <c r="Y872" s="1" t="n">
        <v>46150.3259375</v>
      </c>
    </row>
    <row r="873">
      <c r="A873" t="inlineStr">
        <is>
          <t>pay_ZJqDcao7h62AzU</t>
        </is>
      </c>
      <c r="B873" t="n">
        <v>1499</v>
      </c>
      <c r="C873" t="inlineStr">
        <is>
          <t>INR</t>
        </is>
      </c>
      <c r="D873" t="inlineStr">
        <is>
          <t>failed</t>
        </is>
      </c>
      <c r="E873" t="inlineStr">
        <is>
          <t>order_o91D8zSBDggILn</t>
        </is>
      </c>
      <c r="G873" t="n">
        <v>0</v>
      </c>
      <c r="H873" t="inlineStr">
        <is>
          <t>upi</t>
        </is>
      </c>
      <c r="I873" t="n">
        <v>0</v>
      </c>
      <c r="J873" t="n">
        <v>0</v>
      </c>
      <c r="L873" t="n">
        <v>0</v>
      </c>
      <c r="R873" t="inlineStr">
        <is>
          <t>customer673@example.com</t>
        </is>
      </c>
      <c r="S873">
        <f>+919877056126</f>
        <v/>
      </c>
      <c r="T873" t="inlineStr">
        <is>
          <t>[]</t>
        </is>
      </c>
      <c r="W873" t="inlineStr">
        <is>
          <t>BAD_REQUEST_ERROR</t>
        </is>
      </c>
      <c r="X873" t="inlineStr">
        <is>
          <t>Payment was not completed on time</t>
        </is>
      </c>
      <c r="Y873" s="1" t="n">
        <v>46147.85384259259</v>
      </c>
    </row>
    <row r="874">
      <c r="A874" t="inlineStr">
        <is>
          <t>pay_fvpIfDoBb0Fj9Q</t>
        </is>
      </c>
      <c r="B874" t="n">
        <v>499</v>
      </c>
      <c r="C874" t="inlineStr">
        <is>
          <t>INR</t>
        </is>
      </c>
      <c r="D874" t="inlineStr">
        <is>
          <t>captured</t>
        </is>
      </c>
      <c r="E874" t="inlineStr">
        <is>
          <t>order_r6OMJouLRYvHSq</t>
        </is>
      </c>
      <c r="G874" t="n">
        <v>0</v>
      </c>
      <c r="H874" t="inlineStr">
        <is>
          <t>netbanking</t>
        </is>
      </c>
      <c r="I874" t="n">
        <v>0</v>
      </c>
      <c r="J874" t="n">
        <v>0</v>
      </c>
      <c r="L874" t="n">
        <v>1</v>
      </c>
      <c r="R874" t="inlineStr">
        <is>
          <t>customer38@example.com</t>
        </is>
      </c>
      <c r="S874">
        <f>+919843196345</f>
        <v/>
      </c>
      <c r="T874" t="inlineStr">
        <is>
          <t>[]</t>
        </is>
      </c>
      <c r="U874" t="n">
        <v>9.98</v>
      </c>
      <c r="V874" t="n">
        <v>1.8</v>
      </c>
      <c r="Y874" s="1" t="n">
        <v>46159.92962962963</v>
      </c>
    </row>
    <row r="875">
      <c r="A875" t="inlineStr">
        <is>
          <t>pay_lsYlu8mIbr9D2h</t>
        </is>
      </c>
      <c r="B875" t="n">
        <v>3999</v>
      </c>
      <c r="C875" t="inlineStr">
        <is>
          <t>INR</t>
        </is>
      </c>
      <c r="D875" t="inlineStr">
        <is>
          <t>captured</t>
        </is>
      </c>
      <c r="E875" t="inlineStr">
        <is>
          <t>order_qmdGbZYBn9KsgW</t>
        </is>
      </c>
      <c r="G875" t="n">
        <v>0</v>
      </c>
      <c r="H875" t="inlineStr">
        <is>
          <t>card</t>
        </is>
      </c>
      <c r="I875" t="n">
        <v>0</v>
      </c>
      <c r="J875" t="n">
        <v>0</v>
      </c>
      <c r="L875" t="n">
        <v>1</v>
      </c>
      <c r="R875" t="inlineStr">
        <is>
          <t>customer839@example.com</t>
        </is>
      </c>
      <c r="S875">
        <f>+919880569739</f>
        <v/>
      </c>
      <c r="T875" t="inlineStr">
        <is>
          <t>[]</t>
        </is>
      </c>
      <c r="U875" t="n">
        <v>79.98</v>
      </c>
      <c r="V875" t="n">
        <v>14.4</v>
      </c>
      <c r="Y875" s="1" t="n">
        <v>46172.25001157408</v>
      </c>
    </row>
    <row r="876">
      <c r="A876" t="inlineStr">
        <is>
          <t>pay_js0JNG8WtjF6AI</t>
        </is>
      </c>
      <c r="B876" t="n">
        <v>1799</v>
      </c>
      <c r="C876" t="inlineStr">
        <is>
          <t>INR</t>
        </is>
      </c>
      <c r="D876" t="inlineStr">
        <is>
          <t>failed</t>
        </is>
      </c>
      <c r="E876" t="inlineStr">
        <is>
          <t>order_hBEn1vP8SBBpXa</t>
        </is>
      </c>
      <c r="G876" t="n">
        <v>0</v>
      </c>
      <c r="H876" t="inlineStr">
        <is>
          <t>card</t>
        </is>
      </c>
      <c r="I876" t="n">
        <v>0</v>
      </c>
      <c r="J876" t="n">
        <v>0</v>
      </c>
      <c r="L876" t="n">
        <v>0</v>
      </c>
      <c r="R876" t="inlineStr">
        <is>
          <t>customer593@example.com</t>
        </is>
      </c>
      <c r="S876">
        <f>+919813859793</f>
        <v/>
      </c>
      <c r="T876" t="inlineStr">
        <is>
          <t>[]</t>
        </is>
      </c>
      <c r="W876" t="inlineStr">
        <is>
          <t>BAD_REQUEST_ERROR</t>
        </is>
      </c>
      <c r="X876" t="inlineStr">
        <is>
          <t>Payment failed due to incorrect OTP</t>
        </is>
      </c>
      <c r="Y876" s="1" t="n">
        <v>46152.03582175926</v>
      </c>
    </row>
    <row r="877">
      <c r="A877" t="inlineStr">
        <is>
          <t>pay_ZW84hzql4Sh518</t>
        </is>
      </c>
      <c r="B877" t="n">
        <v>499</v>
      </c>
      <c r="C877" t="inlineStr">
        <is>
          <t>INR</t>
        </is>
      </c>
      <c r="D877" t="inlineStr">
        <is>
          <t>captured</t>
        </is>
      </c>
      <c r="E877" t="inlineStr">
        <is>
          <t>order_Ll6IQIBSbA9qFX</t>
        </is>
      </c>
      <c r="G877" t="n">
        <v>0</v>
      </c>
      <c r="H877" t="inlineStr">
        <is>
          <t>netbanking</t>
        </is>
      </c>
      <c r="I877" t="n">
        <v>0</v>
      </c>
      <c r="J877" t="n">
        <v>0</v>
      </c>
      <c r="L877" t="n">
        <v>1</v>
      </c>
      <c r="R877" t="inlineStr">
        <is>
          <t>customer536@example.com</t>
        </is>
      </c>
      <c r="S877">
        <f>+919830388540</f>
        <v/>
      </c>
      <c r="T877" t="inlineStr">
        <is>
          <t>[]</t>
        </is>
      </c>
      <c r="U877" t="n">
        <v>9.98</v>
      </c>
      <c r="V877" t="n">
        <v>1.8</v>
      </c>
      <c r="Y877" s="1" t="n">
        <v>46153.79313657407</v>
      </c>
    </row>
    <row r="878">
      <c r="A878" t="inlineStr">
        <is>
          <t>pay_BO4mZlys5iHQKo</t>
        </is>
      </c>
      <c r="B878" t="n">
        <v>2499</v>
      </c>
      <c r="C878" t="inlineStr">
        <is>
          <t>INR</t>
        </is>
      </c>
      <c r="D878" t="inlineStr">
        <is>
          <t>captured</t>
        </is>
      </c>
      <c r="E878" t="inlineStr">
        <is>
          <t>order_nMkbzz0CTOQkq7</t>
        </is>
      </c>
      <c r="G878" t="n">
        <v>0</v>
      </c>
      <c r="H878" t="inlineStr">
        <is>
          <t>card</t>
        </is>
      </c>
      <c r="I878" t="n">
        <v>0</v>
      </c>
      <c r="J878" t="n">
        <v>0</v>
      </c>
      <c r="L878" t="n">
        <v>1</v>
      </c>
      <c r="R878" t="inlineStr">
        <is>
          <t>customer574@example.com</t>
        </is>
      </c>
      <c r="S878">
        <f>+919832553989</f>
        <v/>
      </c>
      <c r="T878" t="inlineStr">
        <is>
          <t>[]</t>
        </is>
      </c>
      <c r="U878" t="n">
        <v>49.98</v>
      </c>
      <c r="V878" t="n">
        <v>9</v>
      </c>
      <c r="Y878" s="1" t="n">
        <v>46161.47318287037</v>
      </c>
    </row>
    <row r="879">
      <c r="A879" t="inlineStr">
        <is>
          <t>pay_7Phlu1RwhAZHJ8</t>
        </is>
      </c>
      <c r="B879" t="n">
        <v>1499</v>
      </c>
      <c r="C879" t="inlineStr">
        <is>
          <t>INR</t>
        </is>
      </c>
      <c r="D879" t="inlineStr">
        <is>
          <t>captured</t>
        </is>
      </c>
      <c r="E879" t="inlineStr">
        <is>
          <t>order_U8yL9MQpx2H90V</t>
        </is>
      </c>
      <c r="G879" t="n">
        <v>0</v>
      </c>
      <c r="H879" t="inlineStr">
        <is>
          <t>upi</t>
        </is>
      </c>
      <c r="I879" t="n">
        <v>0</v>
      </c>
      <c r="J879" t="n">
        <v>0</v>
      </c>
      <c r="L879" t="n">
        <v>1</v>
      </c>
      <c r="R879" t="inlineStr">
        <is>
          <t>customer183@example.com</t>
        </is>
      </c>
      <c r="S879">
        <f>+919867001304</f>
        <v/>
      </c>
      <c r="T879" t="inlineStr">
        <is>
          <t>[]</t>
        </is>
      </c>
      <c r="U879" t="n">
        <v>29.98</v>
      </c>
      <c r="V879" t="n">
        <v>5.4</v>
      </c>
      <c r="Y879" s="1" t="n">
        <v>46148.02828703704</v>
      </c>
    </row>
    <row r="880">
      <c r="A880" t="inlineStr">
        <is>
          <t>pay_Isvmd0Dv4U39pf</t>
        </is>
      </c>
      <c r="B880" t="n">
        <v>999</v>
      </c>
      <c r="C880" t="inlineStr">
        <is>
          <t>INR</t>
        </is>
      </c>
      <c r="D880" t="inlineStr">
        <is>
          <t>captured</t>
        </is>
      </c>
      <c r="E880" t="inlineStr">
        <is>
          <t>order_w5JquslWUebImg</t>
        </is>
      </c>
      <c r="G880" t="n">
        <v>0</v>
      </c>
      <c r="H880" t="inlineStr">
        <is>
          <t>card</t>
        </is>
      </c>
      <c r="I880" t="n">
        <v>0</v>
      </c>
      <c r="J880" t="n">
        <v>0</v>
      </c>
      <c r="L880" t="n">
        <v>1</v>
      </c>
      <c r="R880" t="inlineStr">
        <is>
          <t>customer581@example.com</t>
        </is>
      </c>
      <c r="S880">
        <f>+919833499302</f>
        <v/>
      </c>
      <c r="T880" t="inlineStr">
        <is>
          <t>[]</t>
        </is>
      </c>
      <c r="U880" t="n">
        <v>19.98</v>
      </c>
      <c r="V880" t="n">
        <v>3.6</v>
      </c>
      <c r="Y880" s="1" t="n">
        <v>46157.90673611111</v>
      </c>
    </row>
    <row r="881">
      <c r="A881" t="inlineStr">
        <is>
          <t>pay_mxalL0D0RCIoRi</t>
        </is>
      </c>
      <c r="B881" t="n">
        <v>3999</v>
      </c>
      <c r="C881" t="inlineStr">
        <is>
          <t>INR</t>
        </is>
      </c>
      <c r="D881" t="inlineStr">
        <is>
          <t>failed</t>
        </is>
      </c>
      <c r="E881" t="inlineStr">
        <is>
          <t>order_cLlLsjIJIZVo3m</t>
        </is>
      </c>
      <c r="G881" t="n">
        <v>0</v>
      </c>
      <c r="H881" t="inlineStr">
        <is>
          <t>upi</t>
        </is>
      </c>
      <c r="I881" t="n">
        <v>0</v>
      </c>
      <c r="J881" t="n">
        <v>0</v>
      </c>
      <c r="L881" t="n">
        <v>0</v>
      </c>
      <c r="R881" t="inlineStr">
        <is>
          <t>customer809@example.com</t>
        </is>
      </c>
      <c r="S881">
        <f>+919830287282</f>
        <v/>
      </c>
      <c r="T881" t="inlineStr">
        <is>
          <t>[]</t>
        </is>
      </c>
      <c r="W881" t="inlineStr">
        <is>
          <t>BAD_REQUEST_ERROR</t>
        </is>
      </c>
      <c r="X881" t="inlineStr">
        <is>
          <t>UPI app declined the request</t>
        </is>
      </c>
      <c r="Y881" s="1" t="n">
        <v>46152.58238425926</v>
      </c>
    </row>
    <row r="882">
      <c r="A882" t="inlineStr">
        <is>
          <t>pay_fH5U8UiNUw7BRs</t>
        </is>
      </c>
      <c r="B882" t="n">
        <v>499</v>
      </c>
      <c r="C882" t="inlineStr">
        <is>
          <t>INR</t>
        </is>
      </c>
      <c r="D882" t="inlineStr">
        <is>
          <t>captured</t>
        </is>
      </c>
      <c r="E882" t="inlineStr">
        <is>
          <t>order_5udIvpQaJLYcqe</t>
        </is>
      </c>
      <c r="G882" t="n">
        <v>0</v>
      </c>
      <c r="H882" t="inlineStr">
        <is>
          <t>upi</t>
        </is>
      </c>
      <c r="I882" t="n">
        <v>0</v>
      </c>
      <c r="J882" t="n">
        <v>0</v>
      </c>
      <c r="L882" t="n">
        <v>1</v>
      </c>
      <c r="R882" t="inlineStr">
        <is>
          <t>customer367@example.com</t>
        </is>
      </c>
      <c r="S882">
        <f>+919859431985</f>
        <v/>
      </c>
      <c r="T882" t="inlineStr">
        <is>
          <t>[]</t>
        </is>
      </c>
      <c r="U882" t="n">
        <v>9.98</v>
      </c>
      <c r="V882" t="n">
        <v>1.8</v>
      </c>
      <c r="Y882" s="1" t="n">
        <v>46173.13428240741</v>
      </c>
    </row>
    <row r="883">
      <c r="A883" t="inlineStr">
        <is>
          <t>pay_w3C1qK1fYthr8H</t>
        </is>
      </c>
      <c r="B883" t="n">
        <v>999</v>
      </c>
      <c r="C883" t="inlineStr">
        <is>
          <t>INR</t>
        </is>
      </c>
      <c r="D883" t="inlineStr">
        <is>
          <t>captured</t>
        </is>
      </c>
      <c r="E883" t="inlineStr">
        <is>
          <t>order_Gvzn4hc55S5GtK</t>
        </is>
      </c>
      <c r="G883" t="n">
        <v>0</v>
      </c>
      <c r="H883" t="inlineStr">
        <is>
          <t>card</t>
        </is>
      </c>
      <c r="I883" t="n">
        <v>0</v>
      </c>
      <c r="J883" t="n">
        <v>0</v>
      </c>
      <c r="L883" t="n">
        <v>1</v>
      </c>
      <c r="R883" t="inlineStr">
        <is>
          <t>customer618@example.com</t>
        </is>
      </c>
      <c r="S883">
        <f>+919873730707</f>
        <v/>
      </c>
      <c r="T883" t="inlineStr">
        <is>
          <t>[]</t>
        </is>
      </c>
      <c r="U883" t="n">
        <v>19.98</v>
      </c>
      <c r="V883" t="n">
        <v>3.6</v>
      </c>
      <c r="Y883" s="1" t="n">
        <v>46172.61416666667</v>
      </c>
    </row>
    <row r="884">
      <c r="A884" t="inlineStr">
        <is>
          <t>pay_ZxffRn6XgntcHy</t>
        </is>
      </c>
      <c r="B884" t="n">
        <v>499</v>
      </c>
      <c r="C884" t="inlineStr">
        <is>
          <t>INR</t>
        </is>
      </c>
      <c r="D884" t="inlineStr">
        <is>
          <t>captured</t>
        </is>
      </c>
      <c r="E884" t="inlineStr">
        <is>
          <t>order_LtNDVhRjBdQjLY</t>
        </is>
      </c>
      <c r="G884" t="n">
        <v>0</v>
      </c>
      <c r="H884" t="inlineStr">
        <is>
          <t>upi</t>
        </is>
      </c>
      <c r="I884" t="n">
        <v>0</v>
      </c>
      <c r="J884" t="n">
        <v>0</v>
      </c>
      <c r="L884" t="n">
        <v>1</v>
      </c>
      <c r="R884" t="inlineStr">
        <is>
          <t>customer891@example.com</t>
        </is>
      </c>
      <c r="S884">
        <f>+919864620323</f>
        <v/>
      </c>
      <c r="T884" t="inlineStr">
        <is>
          <t>[]</t>
        </is>
      </c>
      <c r="U884" t="n">
        <v>9.98</v>
      </c>
      <c r="V884" t="n">
        <v>1.8</v>
      </c>
      <c r="Y884" s="1" t="n">
        <v>46155.04114583333</v>
      </c>
    </row>
    <row r="885">
      <c r="A885" t="inlineStr">
        <is>
          <t>pay_sWArTH9ZoBfl5P</t>
        </is>
      </c>
      <c r="B885" t="n">
        <v>999</v>
      </c>
      <c r="C885" t="inlineStr">
        <is>
          <t>INR</t>
        </is>
      </c>
      <c r="D885" t="inlineStr">
        <is>
          <t>captured</t>
        </is>
      </c>
      <c r="E885" t="inlineStr">
        <is>
          <t>order_OYTYaJ4mJBb5tg</t>
        </is>
      </c>
      <c r="G885" t="n">
        <v>0</v>
      </c>
      <c r="H885" t="inlineStr">
        <is>
          <t>upi</t>
        </is>
      </c>
      <c r="I885" t="n">
        <v>0</v>
      </c>
      <c r="J885" t="n">
        <v>0</v>
      </c>
      <c r="L885" t="n">
        <v>1</v>
      </c>
      <c r="R885" t="inlineStr">
        <is>
          <t>customer212@example.com</t>
        </is>
      </c>
      <c r="S885">
        <f>+919866711265</f>
        <v/>
      </c>
      <c r="T885" t="inlineStr">
        <is>
          <t>[]</t>
        </is>
      </c>
      <c r="U885" t="n">
        <v>19.98</v>
      </c>
      <c r="V885" t="n">
        <v>3.6</v>
      </c>
      <c r="Y885" s="1" t="n">
        <v>46149.59394675926</v>
      </c>
    </row>
    <row r="886">
      <c r="A886" t="inlineStr">
        <is>
          <t>pay_XMSWgv48jPifnL</t>
        </is>
      </c>
      <c r="B886" t="n">
        <v>999</v>
      </c>
      <c r="C886" t="inlineStr">
        <is>
          <t>INR</t>
        </is>
      </c>
      <c r="D886" t="inlineStr">
        <is>
          <t>captured</t>
        </is>
      </c>
      <c r="E886" t="inlineStr">
        <is>
          <t>order_oSXIGZ0lQIi9IW</t>
        </is>
      </c>
      <c r="G886" t="n">
        <v>0</v>
      </c>
      <c r="H886" t="inlineStr">
        <is>
          <t>card</t>
        </is>
      </c>
      <c r="I886" t="n">
        <v>0</v>
      </c>
      <c r="J886" t="n">
        <v>0</v>
      </c>
      <c r="L886" t="n">
        <v>1</v>
      </c>
      <c r="R886" t="inlineStr">
        <is>
          <t>customer397@example.com</t>
        </is>
      </c>
      <c r="S886">
        <f>+919886483981</f>
        <v/>
      </c>
      <c r="T886" t="inlineStr">
        <is>
          <t>[]</t>
        </is>
      </c>
      <c r="U886" t="n">
        <v>19.98</v>
      </c>
      <c r="V886" t="n">
        <v>3.6</v>
      </c>
      <c r="Y886" s="1" t="n">
        <v>46151.60121527778</v>
      </c>
    </row>
    <row r="887">
      <c r="A887" t="inlineStr">
        <is>
          <t>pay_KrTWcauMURo9wI</t>
        </is>
      </c>
      <c r="B887" t="n">
        <v>1499</v>
      </c>
      <c r="C887" t="inlineStr">
        <is>
          <t>INR</t>
        </is>
      </c>
      <c r="D887" t="inlineStr">
        <is>
          <t>failed</t>
        </is>
      </c>
      <c r="E887" t="inlineStr">
        <is>
          <t>order_ZZk9JIHwIv0zMp</t>
        </is>
      </c>
      <c r="G887" t="n">
        <v>0</v>
      </c>
      <c r="H887" t="inlineStr">
        <is>
          <t>netbanking</t>
        </is>
      </c>
      <c r="I887" t="n">
        <v>0</v>
      </c>
      <c r="J887" t="n">
        <v>0</v>
      </c>
      <c r="L887" t="n">
        <v>0</v>
      </c>
      <c r="R887" t="inlineStr">
        <is>
          <t>customer327@example.com</t>
        </is>
      </c>
      <c r="S887">
        <f>+919836905442</f>
        <v/>
      </c>
      <c r="T887" t="inlineStr">
        <is>
          <t>[]</t>
        </is>
      </c>
      <c r="W887" t="inlineStr">
        <is>
          <t>BAD_REQUEST_ERROR</t>
        </is>
      </c>
      <c r="X887" t="inlineStr">
        <is>
          <t>Bank server unavailable</t>
        </is>
      </c>
      <c r="Y887" s="1" t="n">
        <v>46156.0334375</v>
      </c>
    </row>
    <row r="888">
      <c r="A888" t="inlineStr">
        <is>
          <t>pay_aZUCAbPjQqh5jP</t>
        </is>
      </c>
      <c r="B888" t="n">
        <v>999</v>
      </c>
      <c r="C888" t="inlineStr">
        <is>
          <t>INR</t>
        </is>
      </c>
      <c r="D888" t="inlineStr">
        <is>
          <t>captured</t>
        </is>
      </c>
      <c r="E888" t="inlineStr">
        <is>
          <t>order_XGc7z4g3u7uRUh</t>
        </is>
      </c>
      <c r="G888" t="n">
        <v>0</v>
      </c>
      <c r="H888" t="inlineStr">
        <is>
          <t>card</t>
        </is>
      </c>
      <c r="I888" t="n">
        <v>0</v>
      </c>
      <c r="J888" t="n">
        <v>0</v>
      </c>
      <c r="L888" t="n">
        <v>1</v>
      </c>
      <c r="R888" t="inlineStr">
        <is>
          <t>customer95@example.com</t>
        </is>
      </c>
      <c r="S888">
        <f>+919848743414</f>
        <v/>
      </c>
      <c r="T888" t="inlineStr">
        <is>
          <t>[]</t>
        </is>
      </c>
      <c r="U888" t="n">
        <v>19.98</v>
      </c>
      <c r="V888" t="n">
        <v>3.6</v>
      </c>
      <c r="Y888" s="1" t="n">
        <v>46152.09042824074</v>
      </c>
    </row>
    <row r="889">
      <c r="A889" t="inlineStr">
        <is>
          <t>pay_EqjEJHmmw7uN0b</t>
        </is>
      </c>
      <c r="B889" t="n">
        <v>1499</v>
      </c>
      <c r="C889" t="inlineStr">
        <is>
          <t>INR</t>
        </is>
      </c>
      <c r="D889" t="inlineStr">
        <is>
          <t>captured</t>
        </is>
      </c>
      <c r="E889" t="inlineStr">
        <is>
          <t>order_34E2TJIpdXf9TW</t>
        </is>
      </c>
      <c r="G889" t="n">
        <v>0</v>
      </c>
      <c r="H889" t="inlineStr">
        <is>
          <t>card</t>
        </is>
      </c>
      <c r="I889" t="n">
        <v>0</v>
      </c>
      <c r="J889" t="n">
        <v>0</v>
      </c>
      <c r="L889" t="n">
        <v>1</v>
      </c>
      <c r="R889" t="inlineStr">
        <is>
          <t>customer672@example.com</t>
        </is>
      </c>
      <c r="S889">
        <f>+919851228945</f>
        <v/>
      </c>
      <c r="T889" t="inlineStr">
        <is>
          <t>[]</t>
        </is>
      </c>
      <c r="U889" t="n">
        <v>29.98</v>
      </c>
      <c r="V889" t="n">
        <v>5.4</v>
      </c>
      <c r="Y889" s="1" t="n">
        <v>46146.90188657407</v>
      </c>
    </row>
    <row r="890">
      <c r="A890" t="inlineStr">
        <is>
          <t>pay_462JRZxghzqM0c</t>
        </is>
      </c>
      <c r="B890" t="n">
        <v>999</v>
      </c>
      <c r="C890" t="inlineStr">
        <is>
          <t>INR</t>
        </is>
      </c>
      <c r="D890" t="inlineStr">
        <is>
          <t>failed</t>
        </is>
      </c>
      <c r="E890" t="inlineStr">
        <is>
          <t>order_UnibnywKGmlalW</t>
        </is>
      </c>
      <c r="G890" t="n">
        <v>0</v>
      </c>
      <c r="H890" t="inlineStr">
        <is>
          <t>card</t>
        </is>
      </c>
      <c r="I890" t="n">
        <v>0</v>
      </c>
      <c r="J890" t="n">
        <v>0</v>
      </c>
      <c r="L890" t="n">
        <v>0</v>
      </c>
      <c r="R890" t="inlineStr">
        <is>
          <t>customer729@example.com</t>
        </is>
      </c>
      <c r="S890">
        <f>+919839519356</f>
        <v/>
      </c>
      <c r="T890" t="inlineStr">
        <is>
          <t>[]</t>
        </is>
      </c>
      <c r="W890" t="inlineStr">
        <is>
          <t>BAD_REQUEST_ERROR</t>
        </is>
      </c>
      <c r="X890" t="inlineStr">
        <is>
          <t>Payment cancelled by user</t>
        </is>
      </c>
      <c r="Y890" s="1" t="n">
        <v>46152.14634259259</v>
      </c>
    </row>
    <row r="891">
      <c r="A891" t="inlineStr">
        <is>
          <t>pay_E6A9KEfdScwtAf</t>
        </is>
      </c>
      <c r="B891" t="n">
        <v>1499</v>
      </c>
      <c r="C891" t="inlineStr">
        <is>
          <t>INR</t>
        </is>
      </c>
      <c r="D891" t="inlineStr">
        <is>
          <t>captured</t>
        </is>
      </c>
      <c r="E891" t="inlineStr">
        <is>
          <t>order_AArhnQNsRztMe6</t>
        </is>
      </c>
      <c r="G891" t="n">
        <v>0</v>
      </c>
      <c r="H891" t="inlineStr">
        <is>
          <t>upi</t>
        </is>
      </c>
      <c r="I891" t="n">
        <v>0</v>
      </c>
      <c r="J891" t="n">
        <v>0</v>
      </c>
      <c r="L891" t="n">
        <v>1</v>
      </c>
      <c r="R891" t="inlineStr">
        <is>
          <t>customer608@example.com</t>
        </is>
      </c>
      <c r="S891">
        <f>+919885552779</f>
        <v/>
      </c>
      <c r="T891" t="inlineStr">
        <is>
          <t>[]</t>
        </is>
      </c>
      <c r="U891" t="n">
        <v>29.98</v>
      </c>
      <c r="V891" t="n">
        <v>5.4</v>
      </c>
      <c r="Y891" s="1" t="n">
        <v>46152.62733796296</v>
      </c>
    </row>
    <row r="892">
      <c r="A892" t="inlineStr">
        <is>
          <t>pay_USMuAVPeCBzZOL</t>
        </is>
      </c>
      <c r="B892" t="n">
        <v>2499</v>
      </c>
      <c r="C892" t="inlineStr">
        <is>
          <t>INR</t>
        </is>
      </c>
      <c r="D892" t="inlineStr">
        <is>
          <t>captured</t>
        </is>
      </c>
      <c r="E892" t="inlineStr">
        <is>
          <t>order_aNwyUZpIJHEIRI</t>
        </is>
      </c>
      <c r="G892" t="n">
        <v>0</v>
      </c>
      <c r="H892" t="inlineStr">
        <is>
          <t>card</t>
        </is>
      </c>
      <c r="I892" t="n">
        <v>0</v>
      </c>
      <c r="J892" t="n">
        <v>0</v>
      </c>
      <c r="L892" t="n">
        <v>1</v>
      </c>
      <c r="R892" t="inlineStr">
        <is>
          <t>customer172@example.com</t>
        </is>
      </c>
      <c r="S892">
        <f>+919811269344</f>
        <v/>
      </c>
      <c r="T892" t="inlineStr">
        <is>
          <t>[]</t>
        </is>
      </c>
      <c r="U892" t="n">
        <v>49.98</v>
      </c>
      <c r="V892" t="n">
        <v>9</v>
      </c>
      <c r="Y892" s="1" t="n">
        <v>46145.74715277777</v>
      </c>
    </row>
    <row r="893">
      <c r="A893" t="inlineStr">
        <is>
          <t>pay_T3BCUPk3NxpuT6</t>
        </is>
      </c>
      <c r="B893" t="n">
        <v>999</v>
      </c>
      <c r="C893" t="inlineStr">
        <is>
          <t>INR</t>
        </is>
      </c>
      <c r="D893" t="inlineStr">
        <is>
          <t>captured</t>
        </is>
      </c>
      <c r="E893" t="inlineStr">
        <is>
          <t>order_EfTni5oOzf7cCS</t>
        </is>
      </c>
      <c r="G893" t="n">
        <v>0</v>
      </c>
      <c r="H893" t="inlineStr">
        <is>
          <t>upi</t>
        </is>
      </c>
      <c r="I893" t="n">
        <v>0</v>
      </c>
      <c r="J893" t="n">
        <v>0</v>
      </c>
      <c r="L893" t="n">
        <v>1</v>
      </c>
      <c r="R893" t="inlineStr">
        <is>
          <t>customer109@example.com</t>
        </is>
      </c>
      <c r="S893">
        <f>+919890888069</f>
        <v/>
      </c>
      <c r="T893" t="inlineStr">
        <is>
          <t>[]</t>
        </is>
      </c>
      <c r="U893" t="n">
        <v>19.98</v>
      </c>
      <c r="V893" t="n">
        <v>3.6</v>
      </c>
      <c r="Y893" s="1" t="n">
        <v>46162.82380787037</v>
      </c>
    </row>
    <row r="894">
      <c r="A894" t="inlineStr">
        <is>
          <t>pay_JCzylaEbIlrzL6</t>
        </is>
      </c>
      <c r="B894" t="n">
        <v>1499</v>
      </c>
      <c r="C894" t="inlineStr">
        <is>
          <t>INR</t>
        </is>
      </c>
      <c r="D894" t="inlineStr">
        <is>
          <t>captured</t>
        </is>
      </c>
      <c r="E894" t="inlineStr">
        <is>
          <t>order_q7cG0AtEIVd3ID</t>
        </is>
      </c>
      <c r="G894" t="n">
        <v>0</v>
      </c>
      <c r="H894" t="inlineStr">
        <is>
          <t>upi</t>
        </is>
      </c>
      <c r="I894" t="n">
        <v>0</v>
      </c>
      <c r="J894" t="n">
        <v>0</v>
      </c>
      <c r="L894" t="n">
        <v>1</v>
      </c>
      <c r="R894" t="inlineStr">
        <is>
          <t>customer6@example.com</t>
        </is>
      </c>
      <c r="S894">
        <f>+919863522657</f>
        <v/>
      </c>
      <c r="T894" t="inlineStr">
        <is>
          <t>[]</t>
        </is>
      </c>
      <c r="U894" t="n">
        <v>29.98</v>
      </c>
      <c r="V894" t="n">
        <v>5.4</v>
      </c>
      <c r="Y894" s="1" t="n">
        <v>46158.51689814815</v>
      </c>
    </row>
    <row r="895">
      <c r="A895" t="inlineStr">
        <is>
          <t>pay_m8a4RnyQs60Gdp</t>
        </is>
      </c>
      <c r="B895" t="n">
        <v>1499</v>
      </c>
      <c r="C895" t="inlineStr">
        <is>
          <t>INR</t>
        </is>
      </c>
      <c r="D895" t="inlineStr">
        <is>
          <t>captured</t>
        </is>
      </c>
      <c r="E895" t="inlineStr">
        <is>
          <t>order_nI1aGjg6HKs4ms</t>
        </is>
      </c>
      <c r="G895" t="n">
        <v>0</v>
      </c>
      <c r="H895" t="inlineStr">
        <is>
          <t>upi</t>
        </is>
      </c>
      <c r="I895" t="n">
        <v>0</v>
      </c>
      <c r="J895" t="n">
        <v>0</v>
      </c>
      <c r="L895" t="n">
        <v>1</v>
      </c>
      <c r="R895" t="inlineStr">
        <is>
          <t>customer651@example.com</t>
        </is>
      </c>
      <c r="S895">
        <f>+919885898442</f>
        <v/>
      </c>
      <c r="T895" t="inlineStr">
        <is>
          <t>[]</t>
        </is>
      </c>
      <c r="U895" t="n">
        <v>29.98</v>
      </c>
      <c r="V895" t="n">
        <v>5.4</v>
      </c>
      <c r="Y895" s="1" t="n">
        <v>46144.59444444445</v>
      </c>
    </row>
    <row r="896">
      <c r="A896" t="inlineStr">
        <is>
          <t>pay_n3qcGIPw4ReSjO</t>
        </is>
      </c>
      <c r="B896" t="n">
        <v>1499</v>
      </c>
      <c r="C896" t="inlineStr">
        <is>
          <t>INR</t>
        </is>
      </c>
      <c r="D896" t="inlineStr">
        <is>
          <t>captured</t>
        </is>
      </c>
      <c r="E896" t="inlineStr">
        <is>
          <t>order_pMWVntemB3PMXh</t>
        </is>
      </c>
      <c r="G896" t="n">
        <v>0</v>
      </c>
      <c r="H896" t="inlineStr">
        <is>
          <t>upi</t>
        </is>
      </c>
      <c r="I896" t="n">
        <v>0</v>
      </c>
      <c r="J896" t="n">
        <v>0</v>
      </c>
      <c r="L896" t="n">
        <v>1</v>
      </c>
      <c r="R896" t="inlineStr">
        <is>
          <t>customer223@example.com</t>
        </is>
      </c>
      <c r="S896">
        <f>+919839066948</f>
        <v/>
      </c>
      <c r="T896" t="inlineStr">
        <is>
          <t>[]</t>
        </is>
      </c>
      <c r="U896" t="n">
        <v>29.98</v>
      </c>
      <c r="V896" t="n">
        <v>5.4</v>
      </c>
      <c r="Y896" s="1" t="n">
        <v>46158.98333333333</v>
      </c>
    </row>
    <row r="897">
      <c r="A897" t="inlineStr">
        <is>
          <t>pay_CV0kMMpVOaxV6V</t>
        </is>
      </c>
      <c r="B897" t="n">
        <v>1499</v>
      </c>
      <c r="C897" t="inlineStr">
        <is>
          <t>INR</t>
        </is>
      </c>
      <c r="D897" t="inlineStr">
        <is>
          <t>captured</t>
        </is>
      </c>
      <c r="E897" t="inlineStr">
        <is>
          <t>order_GTyUCW1BQGE21C</t>
        </is>
      </c>
      <c r="G897" t="n">
        <v>0</v>
      </c>
      <c r="H897" t="inlineStr">
        <is>
          <t>upi</t>
        </is>
      </c>
      <c r="I897" t="n">
        <v>0</v>
      </c>
      <c r="J897" t="n">
        <v>0</v>
      </c>
      <c r="L897" t="n">
        <v>1</v>
      </c>
      <c r="R897" t="inlineStr">
        <is>
          <t>customer408@example.com</t>
        </is>
      </c>
      <c r="S897">
        <f>+919879869512</f>
        <v/>
      </c>
      <c r="T897" t="inlineStr">
        <is>
          <t>[]</t>
        </is>
      </c>
      <c r="U897" t="n">
        <v>29.98</v>
      </c>
      <c r="V897" t="n">
        <v>5.4</v>
      </c>
      <c r="Y897" s="1" t="n">
        <v>46151.17181712963</v>
      </c>
    </row>
    <row r="898">
      <c r="A898" t="inlineStr">
        <is>
          <t>pay_SJw1Z6OBHILNj1</t>
        </is>
      </c>
      <c r="B898" t="n">
        <v>499</v>
      </c>
      <c r="C898" t="inlineStr">
        <is>
          <t>INR</t>
        </is>
      </c>
      <c r="D898" t="inlineStr">
        <is>
          <t>failed</t>
        </is>
      </c>
      <c r="E898" t="inlineStr">
        <is>
          <t>order_uU7GBNvZFfxX0r</t>
        </is>
      </c>
      <c r="G898" t="n">
        <v>0</v>
      </c>
      <c r="H898" t="inlineStr">
        <is>
          <t>card</t>
        </is>
      </c>
      <c r="I898" t="n">
        <v>0</v>
      </c>
      <c r="J898" t="n">
        <v>0</v>
      </c>
      <c r="L898" t="n">
        <v>0</v>
      </c>
      <c r="R898" t="inlineStr">
        <is>
          <t>customer873@example.com</t>
        </is>
      </c>
      <c r="S898">
        <f>+919862309424</f>
        <v/>
      </c>
      <c r="T898" t="inlineStr">
        <is>
          <t>[]</t>
        </is>
      </c>
      <c r="W898" t="inlineStr">
        <is>
          <t>BAD_REQUEST_ERROR</t>
        </is>
      </c>
      <c r="X898" t="inlineStr">
        <is>
          <t>Payment cancelled by user</t>
        </is>
      </c>
      <c r="Y898" s="1" t="n">
        <v>46162.75652777778</v>
      </c>
    </row>
    <row r="899">
      <c r="A899" t="inlineStr">
        <is>
          <t>pay_edEPtzDVJV8Bti</t>
        </is>
      </c>
      <c r="B899" t="n">
        <v>499</v>
      </c>
      <c r="C899" t="inlineStr">
        <is>
          <t>INR</t>
        </is>
      </c>
      <c r="D899" t="inlineStr">
        <is>
          <t>failed</t>
        </is>
      </c>
      <c r="E899" t="inlineStr">
        <is>
          <t>order_uU7GBNvZFfxX0r</t>
        </is>
      </c>
      <c r="G899" t="n">
        <v>0</v>
      </c>
      <c r="H899" t="inlineStr">
        <is>
          <t>upi</t>
        </is>
      </c>
      <c r="I899" t="n">
        <v>0</v>
      </c>
      <c r="J899" t="n">
        <v>0</v>
      </c>
      <c r="L899" t="n">
        <v>0</v>
      </c>
      <c r="R899" t="inlineStr">
        <is>
          <t>customer385@example.com</t>
        </is>
      </c>
      <c r="S899">
        <f>+919880028585</f>
        <v/>
      </c>
      <c r="T899" t="inlineStr">
        <is>
          <t>[]</t>
        </is>
      </c>
      <c r="W899" t="inlineStr">
        <is>
          <t>BAD_REQUEST_ERROR</t>
        </is>
      </c>
      <c r="X899" t="inlineStr">
        <is>
          <t>UPI app declined the request</t>
        </is>
      </c>
      <c r="Y899" s="1" t="n">
        <v>46162.75740740741</v>
      </c>
    </row>
    <row r="900">
      <c r="A900" t="inlineStr">
        <is>
          <t>pay_vDomgUleU7qxkf</t>
        </is>
      </c>
      <c r="B900" t="n">
        <v>499</v>
      </c>
      <c r="C900" t="inlineStr">
        <is>
          <t>INR</t>
        </is>
      </c>
      <c r="D900" t="inlineStr">
        <is>
          <t>captured</t>
        </is>
      </c>
      <c r="E900" t="inlineStr">
        <is>
          <t>order_uU7GBNvZFfxX0r</t>
        </is>
      </c>
      <c r="G900" t="n">
        <v>0</v>
      </c>
      <c r="H900" t="inlineStr">
        <is>
          <t>upi</t>
        </is>
      </c>
      <c r="I900" t="n">
        <v>0</v>
      </c>
      <c r="J900" t="n">
        <v>0</v>
      </c>
      <c r="L900" t="n">
        <v>1</v>
      </c>
      <c r="R900" t="inlineStr">
        <is>
          <t>customer624@example.com</t>
        </is>
      </c>
      <c r="S900">
        <f>+919883677070</f>
        <v/>
      </c>
      <c r="T900" t="inlineStr">
        <is>
          <t>[]</t>
        </is>
      </c>
      <c r="U900" t="n">
        <v>9.98</v>
      </c>
      <c r="V900" t="n">
        <v>1.8</v>
      </c>
      <c r="Y900" s="1" t="n">
        <v>46162.76060185185</v>
      </c>
    </row>
    <row r="901">
      <c r="A901" t="inlineStr">
        <is>
          <t>pay_K9UUNrehVyrSl6</t>
        </is>
      </c>
      <c r="B901" t="n">
        <v>1799</v>
      </c>
      <c r="C901" t="inlineStr">
        <is>
          <t>INR</t>
        </is>
      </c>
      <c r="D901" t="inlineStr">
        <is>
          <t>failed</t>
        </is>
      </c>
      <c r="E901" t="inlineStr">
        <is>
          <t>order_HTWbrJITx8Q1ib</t>
        </is>
      </c>
      <c r="G901" t="n">
        <v>0</v>
      </c>
      <c r="H901" t="inlineStr">
        <is>
          <t>upi</t>
        </is>
      </c>
      <c r="I901" t="n">
        <v>0</v>
      </c>
      <c r="J901" t="n">
        <v>0</v>
      </c>
      <c r="L901" t="n">
        <v>0</v>
      </c>
      <c r="R901" t="inlineStr">
        <is>
          <t>customer737@example.com</t>
        </is>
      </c>
      <c r="S901">
        <f>+919884190915</f>
        <v/>
      </c>
      <c r="T901" t="inlineStr">
        <is>
          <t>[]</t>
        </is>
      </c>
      <c r="W901" t="inlineStr">
        <is>
          <t>BAD_REQUEST_ERROR</t>
        </is>
      </c>
      <c r="X901" t="inlineStr">
        <is>
          <t>UPI app declined the request</t>
        </is>
      </c>
      <c r="Y901" s="1" t="n">
        <v>46160.26600694445</v>
      </c>
    </row>
    <row r="902">
      <c r="A902" t="inlineStr">
        <is>
          <t>pay_jxprZIn7TNnA2m</t>
        </is>
      </c>
      <c r="B902" t="n">
        <v>499</v>
      </c>
      <c r="C902" t="inlineStr">
        <is>
          <t>INR</t>
        </is>
      </c>
      <c r="D902" t="inlineStr">
        <is>
          <t>captured</t>
        </is>
      </c>
      <c r="E902" t="inlineStr">
        <is>
          <t>order_S30S2iXi4Vu4GX</t>
        </is>
      </c>
      <c r="G902" t="n">
        <v>0</v>
      </c>
      <c r="H902" t="inlineStr">
        <is>
          <t>upi</t>
        </is>
      </c>
      <c r="I902" t="n">
        <v>0</v>
      </c>
      <c r="J902" t="n">
        <v>0</v>
      </c>
      <c r="L902" t="n">
        <v>1</v>
      </c>
      <c r="R902" t="inlineStr">
        <is>
          <t>customer838@example.com</t>
        </is>
      </c>
      <c r="S902">
        <f>+919850685636</f>
        <v/>
      </c>
      <c r="T902" t="inlineStr">
        <is>
          <t>[]</t>
        </is>
      </c>
      <c r="U902" t="n">
        <v>9.98</v>
      </c>
      <c r="V902" t="n">
        <v>1.8</v>
      </c>
      <c r="Y902" s="1" t="n">
        <v>46171.60608796297</v>
      </c>
    </row>
    <row r="903">
      <c r="A903" t="inlineStr">
        <is>
          <t>pay_MywiXCvycLjq5x</t>
        </is>
      </c>
      <c r="B903" t="n">
        <v>1499</v>
      </c>
      <c r="C903" t="inlineStr">
        <is>
          <t>INR</t>
        </is>
      </c>
      <c r="D903" t="inlineStr">
        <is>
          <t>captured</t>
        </is>
      </c>
      <c r="E903" t="inlineStr">
        <is>
          <t>order_NSBAgFKoN8mLI9</t>
        </is>
      </c>
      <c r="G903" t="n">
        <v>0</v>
      </c>
      <c r="H903" t="inlineStr">
        <is>
          <t>upi</t>
        </is>
      </c>
      <c r="I903" t="n">
        <v>0</v>
      </c>
      <c r="J903" t="n">
        <v>0</v>
      </c>
      <c r="L903" t="n">
        <v>1</v>
      </c>
      <c r="R903" t="inlineStr">
        <is>
          <t>customer6@example.com</t>
        </is>
      </c>
      <c r="S903">
        <f>+919868750478</f>
        <v/>
      </c>
      <c r="T903" t="inlineStr">
        <is>
          <t>[]</t>
        </is>
      </c>
      <c r="U903" t="n">
        <v>29.98</v>
      </c>
      <c r="V903" t="n">
        <v>5.4</v>
      </c>
      <c r="Y903" s="1" t="n">
        <v>46160.15217592593</v>
      </c>
    </row>
    <row r="904">
      <c r="A904" t="inlineStr">
        <is>
          <t>pay_nJ9g8z5xQfbJXD</t>
        </is>
      </c>
      <c r="B904" t="n">
        <v>999</v>
      </c>
      <c r="C904" t="inlineStr">
        <is>
          <t>INR</t>
        </is>
      </c>
      <c r="D904" t="inlineStr">
        <is>
          <t>captured</t>
        </is>
      </c>
      <c r="E904" t="inlineStr">
        <is>
          <t>order_Y9WK6v3TWS8FMw</t>
        </is>
      </c>
      <c r="G904" t="n">
        <v>0</v>
      </c>
      <c r="H904" t="inlineStr">
        <is>
          <t>card</t>
        </is>
      </c>
      <c r="I904" t="n">
        <v>0</v>
      </c>
      <c r="J904" t="n">
        <v>0</v>
      </c>
      <c r="L904" t="n">
        <v>1</v>
      </c>
      <c r="R904" t="inlineStr">
        <is>
          <t>customer295@example.com</t>
        </is>
      </c>
      <c r="S904">
        <f>+919839076639</f>
        <v/>
      </c>
      <c r="T904" t="inlineStr">
        <is>
          <t>[]</t>
        </is>
      </c>
      <c r="U904" t="n">
        <v>19.98</v>
      </c>
      <c r="V904" t="n">
        <v>3.6</v>
      </c>
      <c r="Y904" s="1" t="n">
        <v>46147.64056712963</v>
      </c>
    </row>
    <row r="905">
      <c r="A905" t="inlineStr">
        <is>
          <t>pay_HFY21Fme7K6Cy3</t>
        </is>
      </c>
      <c r="B905" t="n">
        <v>999</v>
      </c>
      <c r="C905" t="inlineStr">
        <is>
          <t>INR</t>
        </is>
      </c>
      <c r="D905" t="inlineStr">
        <is>
          <t>failed</t>
        </is>
      </c>
      <c r="E905" t="inlineStr">
        <is>
          <t>order_rDGN74mVfO8av0</t>
        </is>
      </c>
      <c r="G905" t="n">
        <v>0</v>
      </c>
      <c r="H905" t="inlineStr">
        <is>
          <t>upi</t>
        </is>
      </c>
      <c r="I905" t="n">
        <v>0</v>
      </c>
      <c r="J905" t="n">
        <v>0</v>
      </c>
      <c r="L905" t="n">
        <v>0</v>
      </c>
      <c r="R905" t="inlineStr">
        <is>
          <t>customer900@example.com</t>
        </is>
      </c>
      <c r="S905">
        <f>+919889777624</f>
        <v/>
      </c>
      <c r="T905" t="inlineStr">
        <is>
          <t>[]</t>
        </is>
      </c>
      <c r="W905" t="inlineStr">
        <is>
          <t>BAD_REQUEST_ERROR</t>
        </is>
      </c>
      <c r="X905" t="inlineStr">
        <is>
          <t>UPI app declined the request</t>
        </is>
      </c>
      <c r="Y905" s="1" t="n">
        <v>46151.33434027778</v>
      </c>
    </row>
    <row r="906">
      <c r="A906" t="inlineStr">
        <is>
          <t>pay_kQbKRlA0WCbVrd</t>
        </is>
      </c>
      <c r="B906" t="n">
        <v>1499</v>
      </c>
      <c r="C906" t="inlineStr">
        <is>
          <t>INR</t>
        </is>
      </c>
      <c r="D906" t="inlineStr">
        <is>
          <t>captured</t>
        </is>
      </c>
      <c r="E906" t="inlineStr">
        <is>
          <t>order_BVB5nUFDVXEnQP</t>
        </is>
      </c>
      <c r="G906" t="n">
        <v>0</v>
      </c>
      <c r="H906" t="inlineStr">
        <is>
          <t>upi</t>
        </is>
      </c>
      <c r="I906" t="n">
        <v>0</v>
      </c>
      <c r="J906" t="n">
        <v>0</v>
      </c>
      <c r="L906" t="n">
        <v>1</v>
      </c>
      <c r="R906" t="inlineStr">
        <is>
          <t>customer819@example.com</t>
        </is>
      </c>
      <c r="S906">
        <f>+919832907647</f>
        <v/>
      </c>
      <c r="T906" t="inlineStr">
        <is>
          <t>[]</t>
        </is>
      </c>
      <c r="U906" t="n">
        <v>29.98</v>
      </c>
      <c r="V906" t="n">
        <v>5.4</v>
      </c>
      <c r="Y906" s="1" t="n">
        <v>46168.51130787037</v>
      </c>
    </row>
    <row r="907">
      <c r="A907" t="inlineStr">
        <is>
          <t>pay_wayCb9eFEWi1Jb</t>
        </is>
      </c>
      <c r="B907" t="n">
        <v>1499</v>
      </c>
      <c r="C907" t="inlineStr">
        <is>
          <t>INR</t>
        </is>
      </c>
      <c r="D907" t="inlineStr">
        <is>
          <t>captured</t>
        </is>
      </c>
      <c r="E907" t="inlineStr">
        <is>
          <t>order_IIkC1gPMkPEwhK</t>
        </is>
      </c>
      <c r="G907" t="n">
        <v>0</v>
      </c>
      <c r="H907" t="inlineStr">
        <is>
          <t>card</t>
        </is>
      </c>
      <c r="I907" t="n">
        <v>0</v>
      </c>
      <c r="J907" t="n">
        <v>0</v>
      </c>
      <c r="L907" t="n">
        <v>1</v>
      </c>
      <c r="R907" t="inlineStr">
        <is>
          <t>customer721@example.com</t>
        </is>
      </c>
      <c r="S907">
        <f>+919863746123</f>
        <v/>
      </c>
      <c r="T907" t="inlineStr">
        <is>
          <t>[]</t>
        </is>
      </c>
      <c r="U907" t="n">
        <v>29.98</v>
      </c>
      <c r="V907" t="n">
        <v>5.4</v>
      </c>
      <c r="Y907" s="1" t="n">
        <v>46169.88479166666</v>
      </c>
    </row>
    <row r="908">
      <c r="A908" t="inlineStr">
        <is>
          <t>pay_oVrqR47v01wOYj</t>
        </is>
      </c>
      <c r="B908" t="n">
        <v>1799</v>
      </c>
      <c r="C908" t="inlineStr">
        <is>
          <t>INR</t>
        </is>
      </c>
      <c r="D908" t="inlineStr">
        <is>
          <t>failed</t>
        </is>
      </c>
      <c r="E908" t="inlineStr">
        <is>
          <t>order_miN0knngRMxtfT</t>
        </is>
      </c>
      <c r="G908" t="n">
        <v>0</v>
      </c>
      <c r="H908" t="inlineStr">
        <is>
          <t>upi</t>
        </is>
      </c>
      <c r="I908" t="n">
        <v>0</v>
      </c>
      <c r="J908" t="n">
        <v>0</v>
      </c>
      <c r="L908" t="n">
        <v>0</v>
      </c>
      <c r="R908" t="inlineStr">
        <is>
          <t>customer702@example.com</t>
        </is>
      </c>
      <c r="S908">
        <f>+919865863471</f>
        <v/>
      </c>
      <c r="T908" t="inlineStr">
        <is>
          <t>[]</t>
        </is>
      </c>
      <c r="W908" t="inlineStr">
        <is>
          <t>BAD_REQUEST_ERROR</t>
        </is>
      </c>
      <c r="X908" t="inlineStr">
        <is>
          <t>Payment was not completed on time</t>
        </is>
      </c>
      <c r="Y908" s="1" t="n">
        <v>46172.52145833334</v>
      </c>
    </row>
    <row r="909">
      <c r="A909" t="inlineStr">
        <is>
          <t>pay_TeGl2qZ37HoHsg</t>
        </is>
      </c>
      <c r="B909" t="n">
        <v>1799</v>
      </c>
      <c r="C909" t="inlineStr">
        <is>
          <t>INR</t>
        </is>
      </c>
      <c r="D909" t="inlineStr">
        <is>
          <t>captured</t>
        </is>
      </c>
      <c r="E909" t="inlineStr">
        <is>
          <t>order_miN0knngRMxtfT</t>
        </is>
      </c>
      <c r="G909" t="n">
        <v>0</v>
      </c>
      <c r="H909" t="inlineStr">
        <is>
          <t>upi</t>
        </is>
      </c>
      <c r="I909" t="n">
        <v>0</v>
      </c>
      <c r="J909" t="n">
        <v>0</v>
      </c>
      <c r="L909" t="n">
        <v>1</v>
      </c>
      <c r="R909" t="inlineStr">
        <is>
          <t>customer492@example.com</t>
        </is>
      </c>
      <c r="S909">
        <f>+919873846089</f>
        <v/>
      </c>
      <c r="T909" t="inlineStr">
        <is>
          <t>[]</t>
        </is>
      </c>
      <c r="U909" t="n">
        <v>35.98</v>
      </c>
      <c r="V909" t="n">
        <v>6.48</v>
      </c>
      <c r="Y909" s="1" t="n">
        <v>46172.52840277777</v>
      </c>
    </row>
    <row r="910">
      <c r="A910" t="inlineStr">
        <is>
          <t>pay_tmtYz3T3fQpwtr</t>
        </is>
      </c>
      <c r="B910" t="n">
        <v>1799</v>
      </c>
      <c r="C910" t="inlineStr">
        <is>
          <t>INR</t>
        </is>
      </c>
      <c r="D910" t="inlineStr">
        <is>
          <t>captured</t>
        </is>
      </c>
      <c r="E910" t="inlineStr">
        <is>
          <t>order_OPIKX5ODJcWsld</t>
        </is>
      </c>
      <c r="G910" t="n">
        <v>0</v>
      </c>
      <c r="H910" t="inlineStr">
        <is>
          <t>upi</t>
        </is>
      </c>
      <c r="I910" t="n">
        <v>0</v>
      </c>
      <c r="J910" t="n">
        <v>0</v>
      </c>
      <c r="L910" t="n">
        <v>1</v>
      </c>
      <c r="R910" t="inlineStr">
        <is>
          <t>customer863@example.com</t>
        </is>
      </c>
      <c r="S910">
        <f>+919874376265</f>
        <v/>
      </c>
      <c r="T910" t="inlineStr">
        <is>
          <t>[]</t>
        </is>
      </c>
      <c r="U910" t="n">
        <v>35.98</v>
      </c>
      <c r="V910" t="n">
        <v>6.48</v>
      </c>
      <c r="Y910" s="1" t="n">
        <v>46159.20168981481</v>
      </c>
    </row>
    <row r="911">
      <c r="A911" t="inlineStr">
        <is>
          <t>pay_uGUQzpD287TznV</t>
        </is>
      </c>
      <c r="B911" t="n">
        <v>2499</v>
      </c>
      <c r="C911" t="inlineStr">
        <is>
          <t>INR</t>
        </is>
      </c>
      <c r="D911" t="inlineStr">
        <is>
          <t>captured</t>
        </is>
      </c>
      <c r="E911" t="inlineStr">
        <is>
          <t>order_MMF5uOSgL3S8u1</t>
        </is>
      </c>
      <c r="G911" t="n">
        <v>0</v>
      </c>
      <c r="H911" t="inlineStr">
        <is>
          <t>upi</t>
        </is>
      </c>
      <c r="I911" t="n">
        <v>0</v>
      </c>
      <c r="J911" t="n">
        <v>0</v>
      </c>
      <c r="L911" t="n">
        <v>1</v>
      </c>
      <c r="R911" t="inlineStr">
        <is>
          <t>customer645@example.com</t>
        </is>
      </c>
      <c r="S911">
        <f>+919860254723</f>
        <v/>
      </c>
      <c r="T911" t="inlineStr">
        <is>
          <t>[]</t>
        </is>
      </c>
      <c r="U911" t="n">
        <v>49.98</v>
      </c>
      <c r="V911" t="n">
        <v>9</v>
      </c>
      <c r="Y911" s="1" t="n">
        <v>46166.70268518518</v>
      </c>
    </row>
    <row r="912">
      <c r="A912" t="inlineStr">
        <is>
          <t>pay_SBNKa443G95muM</t>
        </is>
      </c>
      <c r="B912" t="n">
        <v>1499</v>
      </c>
      <c r="C912" t="inlineStr">
        <is>
          <t>INR</t>
        </is>
      </c>
      <c r="D912" t="inlineStr">
        <is>
          <t>captured</t>
        </is>
      </c>
      <c r="E912" t="inlineStr">
        <is>
          <t>order_npYUEI1X1bLqa4</t>
        </is>
      </c>
      <c r="G912" t="n">
        <v>0</v>
      </c>
      <c r="H912" t="inlineStr">
        <is>
          <t>netbanking</t>
        </is>
      </c>
      <c r="I912" t="n">
        <v>0</v>
      </c>
      <c r="J912" t="n">
        <v>0</v>
      </c>
      <c r="L912" t="n">
        <v>1</v>
      </c>
      <c r="R912" t="inlineStr">
        <is>
          <t>customer576@example.com</t>
        </is>
      </c>
      <c r="S912">
        <f>+919880809245</f>
        <v/>
      </c>
      <c r="T912" t="inlineStr">
        <is>
          <t>[]</t>
        </is>
      </c>
      <c r="U912" t="n">
        <v>29.98</v>
      </c>
      <c r="V912" t="n">
        <v>5.4</v>
      </c>
      <c r="Y912" s="1" t="n">
        <v>46145.24965277778</v>
      </c>
    </row>
    <row r="913">
      <c r="A913" t="inlineStr">
        <is>
          <t>pay_jGGVTIH9QdNz2v</t>
        </is>
      </c>
      <c r="B913" t="n">
        <v>999</v>
      </c>
      <c r="C913" t="inlineStr">
        <is>
          <t>INR</t>
        </is>
      </c>
      <c r="D913" t="inlineStr">
        <is>
          <t>failed</t>
        </is>
      </c>
      <c r="E913" t="inlineStr">
        <is>
          <t>order_EJVcWQUGFnsh4L</t>
        </is>
      </c>
      <c r="G913" t="n">
        <v>0</v>
      </c>
      <c r="H913" t="inlineStr">
        <is>
          <t>upi</t>
        </is>
      </c>
      <c r="I913" t="n">
        <v>0</v>
      </c>
      <c r="J913" t="n">
        <v>0</v>
      </c>
      <c r="L913" t="n">
        <v>0</v>
      </c>
      <c r="R913" t="inlineStr">
        <is>
          <t>customer694@example.com</t>
        </is>
      </c>
      <c r="S913">
        <f>+919872386299</f>
        <v/>
      </c>
      <c r="T913" t="inlineStr">
        <is>
          <t>[]</t>
        </is>
      </c>
      <c r="W913" t="inlineStr">
        <is>
          <t>BAD_REQUEST_ERROR</t>
        </is>
      </c>
      <c r="X913" t="inlineStr">
        <is>
          <t>Payment was not completed on time</t>
        </is>
      </c>
      <c r="Y913" s="1" t="n">
        <v>46166.75732638889</v>
      </c>
    </row>
    <row r="914">
      <c r="A914" t="inlineStr">
        <is>
          <t>pay_RxARwT6Chv0mCf</t>
        </is>
      </c>
      <c r="B914" t="n">
        <v>999</v>
      </c>
      <c r="C914" t="inlineStr">
        <is>
          <t>INR</t>
        </is>
      </c>
      <c r="D914" t="inlineStr">
        <is>
          <t>captured</t>
        </is>
      </c>
      <c r="E914" t="inlineStr">
        <is>
          <t>order_EJVcWQUGFnsh4L</t>
        </is>
      </c>
      <c r="G914" t="n">
        <v>0</v>
      </c>
      <c r="H914" t="inlineStr">
        <is>
          <t>upi</t>
        </is>
      </c>
      <c r="I914" t="n">
        <v>0</v>
      </c>
      <c r="J914" t="n">
        <v>0</v>
      </c>
      <c r="L914" t="n">
        <v>1</v>
      </c>
      <c r="R914" t="inlineStr">
        <is>
          <t>customer689@example.com</t>
        </is>
      </c>
      <c r="S914">
        <f>+919823006242</f>
        <v/>
      </c>
      <c r="T914" t="inlineStr">
        <is>
          <t>[]</t>
        </is>
      </c>
      <c r="U914" t="n">
        <v>19.98</v>
      </c>
      <c r="V914" t="n">
        <v>3.6</v>
      </c>
      <c r="Y914" s="1" t="n">
        <v>46166.75791666667</v>
      </c>
    </row>
    <row r="915">
      <c r="A915" t="inlineStr">
        <is>
          <t>pay_xdbIhxUshwBLTS</t>
        </is>
      </c>
      <c r="B915" t="n">
        <v>1799</v>
      </c>
      <c r="C915" t="inlineStr">
        <is>
          <t>INR</t>
        </is>
      </c>
      <c r="D915" t="inlineStr">
        <is>
          <t>failed</t>
        </is>
      </c>
      <c r="E915" t="inlineStr">
        <is>
          <t>order_iUyXgv8nnl2bx0</t>
        </is>
      </c>
      <c r="G915" t="n">
        <v>0</v>
      </c>
      <c r="H915" t="inlineStr">
        <is>
          <t>card</t>
        </is>
      </c>
      <c r="I915" t="n">
        <v>0</v>
      </c>
      <c r="J915" t="n">
        <v>0</v>
      </c>
      <c r="L915" t="n">
        <v>0</v>
      </c>
      <c r="R915" t="inlineStr">
        <is>
          <t>customer856@example.com</t>
        </is>
      </c>
      <c r="S915">
        <f>+919847095276</f>
        <v/>
      </c>
      <c r="T915" t="inlineStr">
        <is>
          <t>[]</t>
        </is>
      </c>
      <c r="W915" t="inlineStr">
        <is>
          <t>BAD_REQUEST_ERROR</t>
        </is>
      </c>
      <c r="X915" t="inlineStr">
        <is>
          <t>Payment cancelled by user</t>
        </is>
      </c>
      <c r="Y915" s="1" t="n">
        <v>46152.18739583333</v>
      </c>
    </row>
    <row r="916">
      <c r="A916" t="inlineStr">
        <is>
          <t>pay_rT6SMMoNlXyrZN</t>
        </is>
      </c>
      <c r="B916" t="n">
        <v>2499</v>
      </c>
      <c r="C916" t="inlineStr">
        <is>
          <t>INR</t>
        </is>
      </c>
      <c r="D916" t="inlineStr">
        <is>
          <t>captured</t>
        </is>
      </c>
      <c r="E916" t="inlineStr">
        <is>
          <t>order_rsxI7pTaG69dp4</t>
        </is>
      </c>
      <c r="G916" t="n">
        <v>0</v>
      </c>
      <c r="H916" t="inlineStr">
        <is>
          <t>upi</t>
        </is>
      </c>
      <c r="I916" t="n">
        <v>0</v>
      </c>
      <c r="J916" t="n">
        <v>0</v>
      </c>
      <c r="L916" t="n">
        <v>1</v>
      </c>
      <c r="R916" t="inlineStr">
        <is>
          <t>customer79@example.com</t>
        </is>
      </c>
      <c r="S916">
        <f>+919824788790</f>
        <v/>
      </c>
      <c r="T916" t="inlineStr">
        <is>
          <t>[]</t>
        </is>
      </c>
      <c r="U916" t="n">
        <v>49.98</v>
      </c>
      <c r="V916" t="n">
        <v>9</v>
      </c>
      <c r="Y916" s="1" t="n">
        <v>46172.7143287037</v>
      </c>
    </row>
    <row r="917">
      <c r="A917" t="inlineStr">
        <is>
          <t>pay_6lxZwxBmzhfeDS</t>
        </is>
      </c>
      <c r="B917" t="n">
        <v>2499</v>
      </c>
      <c r="C917" t="inlineStr">
        <is>
          <t>INR</t>
        </is>
      </c>
      <c r="D917" t="inlineStr">
        <is>
          <t>captured</t>
        </is>
      </c>
      <c r="E917" t="inlineStr">
        <is>
          <t>order_I6JFPhkZCC2fK0</t>
        </is>
      </c>
      <c r="G917" t="n">
        <v>0</v>
      </c>
      <c r="H917" t="inlineStr">
        <is>
          <t>netbanking</t>
        </is>
      </c>
      <c r="I917" t="n">
        <v>0</v>
      </c>
      <c r="J917" t="n">
        <v>0</v>
      </c>
      <c r="L917" t="n">
        <v>1</v>
      </c>
      <c r="R917" t="inlineStr">
        <is>
          <t>customer35@example.com</t>
        </is>
      </c>
      <c r="S917">
        <f>+919873646929</f>
        <v/>
      </c>
      <c r="T917" t="inlineStr">
        <is>
          <t>[]</t>
        </is>
      </c>
      <c r="U917" t="n">
        <v>49.98</v>
      </c>
      <c r="V917" t="n">
        <v>9</v>
      </c>
      <c r="Y917" s="1" t="n">
        <v>46169.40142361111</v>
      </c>
    </row>
    <row r="918">
      <c r="A918" t="inlineStr">
        <is>
          <t>pay_HZ6nmcYYmxmjFo</t>
        </is>
      </c>
      <c r="B918" t="n">
        <v>1799</v>
      </c>
      <c r="C918" t="inlineStr">
        <is>
          <t>INR</t>
        </is>
      </c>
      <c r="D918" t="inlineStr">
        <is>
          <t>captured</t>
        </is>
      </c>
      <c r="E918" t="inlineStr">
        <is>
          <t>order_dHZAJmcoV1GTgS</t>
        </is>
      </c>
      <c r="G918" t="n">
        <v>0</v>
      </c>
      <c r="H918" t="inlineStr">
        <is>
          <t>upi</t>
        </is>
      </c>
      <c r="I918" t="n">
        <v>0</v>
      </c>
      <c r="J918" t="n">
        <v>0</v>
      </c>
      <c r="L918" t="n">
        <v>1</v>
      </c>
      <c r="R918" t="inlineStr">
        <is>
          <t>customer232@example.com</t>
        </is>
      </c>
      <c r="S918">
        <f>+919878639592</f>
        <v/>
      </c>
      <c r="T918" t="inlineStr">
        <is>
          <t>[]</t>
        </is>
      </c>
      <c r="U918" t="n">
        <v>35.98</v>
      </c>
      <c r="V918" t="n">
        <v>6.48</v>
      </c>
      <c r="Y918" s="1" t="n">
        <v>46154.59690972222</v>
      </c>
    </row>
    <row r="919">
      <c r="A919" t="inlineStr">
        <is>
          <t>pay_1cr0eovxCg9je8</t>
        </is>
      </c>
      <c r="B919" t="n">
        <v>1799</v>
      </c>
      <c r="C919" t="inlineStr">
        <is>
          <t>INR</t>
        </is>
      </c>
      <c r="D919" t="inlineStr">
        <is>
          <t>captured</t>
        </is>
      </c>
      <c r="E919" t="inlineStr">
        <is>
          <t>order_ExAvCuxalyQch4</t>
        </is>
      </c>
      <c r="G919" t="n">
        <v>0</v>
      </c>
      <c r="H919" t="inlineStr">
        <is>
          <t>upi</t>
        </is>
      </c>
      <c r="I919" t="n">
        <v>0</v>
      </c>
      <c r="J919" t="n">
        <v>0</v>
      </c>
      <c r="L919" t="n">
        <v>1</v>
      </c>
      <c r="R919" t="inlineStr">
        <is>
          <t>customer840@example.com</t>
        </is>
      </c>
      <c r="S919">
        <f>+919850874141</f>
        <v/>
      </c>
      <c r="T919" t="inlineStr">
        <is>
          <t>[]</t>
        </is>
      </c>
      <c r="U919" t="n">
        <v>35.98</v>
      </c>
      <c r="V919" t="n">
        <v>6.48</v>
      </c>
      <c r="Y919" s="1" t="n">
        <v>46163.86793981482</v>
      </c>
    </row>
    <row r="920">
      <c r="A920" t="inlineStr">
        <is>
          <t>pay_33hVSKFPDnkSYN</t>
        </is>
      </c>
      <c r="B920" t="n">
        <v>2499</v>
      </c>
      <c r="C920" t="inlineStr">
        <is>
          <t>INR</t>
        </is>
      </c>
      <c r="D920" t="inlineStr">
        <is>
          <t>captured</t>
        </is>
      </c>
      <c r="E920" t="inlineStr">
        <is>
          <t>order_bxyerAgO3uy7HM</t>
        </is>
      </c>
      <c r="G920" t="n">
        <v>0</v>
      </c>
      <c r="H920" t="inlineStr">
        <is>
          <t>upi</t>
        </is>
      </c>
      <c r="I920" t="n">
        <v>0</v>
      </c>
      <c r="J920" t="n">
        <v>0</v>
      </c>
      <c r="L920" t="n">
        <v>1</v>
      </c>
      <c r="R920" t="inlineStr">
        <is>
          <t>customer109@example.com</t>
        </is>
      </c>
      <c r="S920">
        <f>+919813338208</f>
        <v/>
      </c>
      <c r="T920" t="inlineStr">
        <is>
          <t>[]</t>
        </is>
      </c>
      <c r="U920" t="n">
        <v>49.98</v>
      </c>
      <c r="V920" t="n">
        <v>9</v>
      </c>
      <c r="Y920" s="1" t="n">
        <v>46152.91709490741</v>
      </c>
    </row>
    <row r="921">
      <c r="A921" t="inlineStr">
        <is>
          <t>pay_OVMauGb8NXvGEH</t>
        </is>
      </c>
      <c r="B921" t="n">
        <v>999</v>
      </c>
      <c r="C921" t="inlineStr">
        <is>
          <t>INR</t>
        </is>
      </c>
      <c r="D921" t="inlineStr">
        <is>
          <t>captured</t>
        </is>
      </c>
      <c r="E921" t="inlineStr">
        <is>
          <t>order_QrRrVilITBFD1H</t>
        </is>
      </c>
      <c r="G921" t="n">
        <v>0</v>
      </c>
      <c r="H921" t="inlineStr">
        <is>
          <t>netbanking</t>
        </is>
      </c>
      <c r="I921" t="n">
        <v>0</v>
      </c>
      <c r="J921" t="n">
        <v>0</v>
      </c>
      <c r="L921" t="n">
        <v>1</v>
      </c>
      <c r="R921" t="inlineStr">
        <is>
          <t>customer819@example.com</t>
        </is>
      </c>
      <c r="S921">
        <f>+919874165395</f>
        <v/>
      </c>
      <c r="T921" t="inlineStr">
        <is>
          <t>[]</t>
        </is>
      </c>
      <c r="U921" t="n">
        <v>19.98</v>
      </c>
      <c r="V921" t="n">
        <v>3.6</v>
      </c>
      <c r="Y921" s="1" t="n">
        <v>46148.21563657407</v>
      </c>
    </row>
    <row r="922">
      <c r="A922" t="inlineStr">
        <is>
          <t>pay_c9E5yno7XbaFWZ</t>
        </is>
      </c>
      <c r="B922" t="n">
        <v>999</v>
      </c>
      <c r="C922" t="inlineStr">
        <is>
          <t>INR</t>
        </is>
      </c>
      <c r="D922" t="inlineStr">
        <is>
          <t>captured</t>
        </is>
      </c>
      <c r="E922" t="inlineStr">
        <is>
          <t>order_vIuyVNoTMRJoiq</t>
        </is>
      </c>
      <c r="G922" t="n">
        <v>0</v>
      </c>
      <c r="H922" t="inlineStr">
        <is>
          <t>card</t>
        </is>
      </c>
      <c r="I922" t="n">
        <v>0</v>
      </c>
      <c r="J922" t="n">
        <v>0</v>
      </c>
      <c r="L922" t="n">
        <v>1</v>
      </c>
      <c r="R922" t="inlineStr">
        <is>
          <t>customer315@example.com</t>
        </is>
      </c>
      <c r="S922">
        <f>+919864354232</f>
        <v/>
      </c>
      <c r="T922" t="inlineStr">
        <is>
          <t>[]</t>
        </is>
      </c>
      <c r="U922" t="n">
        <v>19.98</v>
      </c>
      <c r="V922" t="n">
        <v>3.6</v>
      </c>
      <c r="Y922" s="1" t="n">
        <v>46160.17233796296</v>
      </c>
    </row>
    <row r="923">
      <c r="A923" t="inlineStr">
        <is>
          <t>pay_1Qo98ByQ4j7gvu</t>
        </is>
      </c>
      <c r="B923" t="n">
        <v>1499</v>
      </c>
      <c r="C923" t="inlineStr">
        <is>
          <t>INR</t>
        </is>
      </c>
      <c r="D923" t="inlineStr">
        <is>
          <t>failed</t>
        </is>
      </c>
      <c r="E923" t="inlineStr">
        <is>
          <t>order_wba8UH4XIeanAI</t>
        </is>
      </c>
      <c r="G923" t="n">
        <v>0</v>
      </c>
      <c r="H923" t="inlineStr">
        <is>
          <t>card</t>
        </is>
      </c>
      <c r="I923" t="n">
        <v>0</v>
      </c>
      <c r="J923" t="n">
        <v>0</v>
      </c>
      <c r="L923" t="n">
        <v>0</v>
      </c>
      <c r="R923" t="inlineStr">
        <is>
          <t>customer48@example.com</t>
        </is>
      </c>
      <c r="S923">
        <f>+919849194751</f>
        <v/>
      </c>
      <c r="T923" t="inlineStr">
        <is>
          <t>[]</t>
        </is>
      </c>
      <c r="W923" t="inlineStr">
        <is>
          <t>BAD_REQUEST_ERROR</t>
        </is>
      </c>
      <c r="X923" t="inlineStr">
        <is>
          <t>Payment cancelled by user</t>
        </is>
      </c>
      <c r="Y923" s="1" t="n">
        <v>46164.29336805556</v>
      </c>
    </row>
    <row r="924">
      <c r="A924" t="inlineStr">
        <is>
          <t>pay_wwNaJ1QYpsDpqr</t>
        </is>
      </c>
      <c r="B924" t="n">
        <v>1799</v>
      </c>
      <c r="C924" t="inlineStr">
        <is>
          <t>INR</t>
        </is>
      </c>
      <c r="D924" t="inlineStr">
        <is>
          <t>captured</t>
        </is>
      </c>
      <c r="E924" t="inlineStr">
        <is>
          <t>order_fKMKAu0MkgV11h</t>
        </is>
      </c>
      <c r="G924" t="n">
        <v>0</v>
      </c>
      <c r="H924" t="inlineStr">
        <is>
          <t>upi</t>
        </is>
      </c>
      <c r="I924" t="n">
        <v>0</v>
      </c>
      <c r="J924" t="n">
        <v>0</v>
      </c>
      <c r="L924" t="n">
        <v>1</v>
      </c>
      <c r="R924" t="inlineStr">
        <is>
          <t>customer878@example.com</t>
        </is>
      </c>
      <c r="S924">
        <f>+919871051583</f>
        <v/>
      </c>
      <c r="T924" t="inlineStr">
        <is>
          <t>[]</t>
        </is>
      </c>
      <c r="U924" t="n">
        <v>35.98</v>
      </c>
      <c r="V924" t="n">
        <v>6.48</v>
      </c>
      <c r="Y924" s="1" t="n">
        <v>46160.92733796296</v>
      </c>
    </row>
    <row r="925">
      <c r="A925" t="inlineStr">
        <is>
          <t>pay_ocwkOD4H4LdU37</t>
        </is>
      </c>
      <c r="B925" t="n">
        <v>1799</v>
      </c>
      <c r="C925" t="inlineStr">
        <is>
          <t>INR</t>
        </is>
      </c>
      <c r="D925" t="inlineStr">
        <is>
          <t>captured</t>
        </is>
      </c>
      <c r="E925" t="inlineStr">
        <is>
          <t>order_bgWB1bdwR01n5s</t>
        </is>
      </c>
      <c r="G925" t="n">
        <v>0</v>
      </c>
      <c r="H925" t="inlineStr">
        <is>
          <t>upi</t>
        </is>
      </c>
      <c r="I925" t="n">
        <v>0</v>
      </c>
      <c r="J925" t="n">
        <v>0</v>
      </c>
      <c r="L925" t="n">
        <v>1</v>
      </c>
      <c r="R925" t="inlineStr">
        <is>
          <t>customer778@example.com</t>
        </is>
      </c>
      <c r="S925">
        <f>+919822369358</f>
        <v/>
      </c>
      <c r="T925" t="inlineStr">
        <is>
          <t>[]</t>
        </is>
      </c>
      <c r="U925" t="n">
        <v>35.98</v>
      </c>
      <c r="V925" t="n">
        <v>6.48</v>
      </c>
      <c r="Y925" s="1" t="n">
        <v>46171.29902777778</v>
      </c>
    </row>
    <row r="926">
      <c r="A926" t="inlineStr">
        <is>
          <t>pay_yVc08qrHEWirWE</t>
        </is>
      </c>
      <c r="B926" t="n">
        <v>1499</v>
      </c>
      <c r="C926" t="inlineStr">
        <is>
          <t>INR</t>
        </is>
      </c>
      <c r="D926" t="inlineStr">
        <is>
          <t>captured</t>
        </is>
      </c>
      <c r="E926" t="inlineStr">
        <is>
          <t>order_pJDvFWOREuRlwR</t>
        </is>
      </c>
      <c r="G926" t="n">
        <v>0</v>
      </c>
      <c r="H926" t="inlineStr">
        <is>
          <t>upi</t>
        </is>
      </c>
      <c r="I926" t="n">
        <v>0</v>
      </c>
      <c r="J926" t="n">
        <v>0</v>
      </c>
      <c r="L926" t="n">
        <v>1</v>
      </c>
      <c r="R926" t="inlineStr">
        <is>
          <t>customer405@example.com</t>
        </is>
      </c>
      <c r="S926">
        <f>+919860931909</f>
        <v/>
      </c>
      <c r="T926" t="inlineStr">
        <is>
          <t>[]</t>
        </is>
      </c>
      <c r="U926" t="n">
        <v>29.98</v>
      </c>
      <c r="V926" t="n">
        <v>5.4</v>
      </c>
      <c r="Y926" s="1" t="n">
        <v>46155.14671296296</v>
      </c>
    </row>
    <row r="927">
      <c r="A927" t="inlineStr">
        <is>
          <t>pay_t5nYSuW0qHQIcu</t>
        </is>
      </c>
      <c r="B927" t="n">
        <v>499</v>
      </c>
      <c r="C927" t="inlineStr">
        <is>
          <t>INR</t>
        </is>
      </c>
      <c r="D927" t="inlineStr">
        <is>
          <t>failed</t>
        </is>
      </c>
      <c r="E927" t="inlineStr">
        <is>
          <t>order_vRuYJPXwe2i7Pr</t>
        </is>
      </c>
      <c r="G927" t="n">
        <v>0</v>
      </c>
      <c r="H927" t="inlineStr">
        <is>
          <t>upi</t>
        </is>
      </c>
      <c r="I927" t="n">
        <v>0</v>
      </c>
      <c r="J927" t="n">
        <v>0</v>
      </c>
      <c r="L927" t="n">
        <v>0</v>
      </c>
      <c r="R927" t="inlineStr">
        <is>
          <t>customer24@example.com</t>
        </is>
      </c>
      <c r="S927">
        <f>+919843769492</f>
        <v/>
      </c>
      <c r="T927" t="inlineStr">
        <is>
          <t>[]</t>
        </is>
      </c>
      <c r="W927" t="inlineStr">
        <is>
          <t>BAD_REQUEST_ERROR</t>
        </is>
      </c>
      <c r="X927" t="inlineStr">
        <is>
          <t>Payment was not completed on time</t>
        </is>
      </c>
      <c r="Y927" s="1" t="n">
        <v>46144.50957175926</v>
      </c>
    </row>
    <row r="928">
      <c r="A928" t="inlineStr">
        <is>
          <t>pay_OG8aLbP2MLYLWX</t>
        </is>
      </c>
      <c r="B928" t="n">
        <v>999</v>
      </c>
      <c r="C928" t="inlineStr">
        <is>
          <t>INR</t>
        </is>
      </c>
      <c r="D928" t="inlineStr">
        <is>
          <t>captured</t>
        </is>
      </c>
      <c r="E928" t="inlineStr">
        <is>
          <t>order_VNjNX9b4IrmsAj</t>
        </is>
      </c>
      <c r="G928" t="n">
        <v>0</v>
      </c>
      <c r="H928" t="inlineStr">
        <is>
          <t>upi</t>
        </is>
      </c>
      <c r="I928" t="n">
        <v>0</v>
      </c>
      <c r="J928" t="n">
        <v>0</v>
      </c>
      <c r="L928" t="n">
        <v>1</v>
      </c>
      <c r="R928" t="inlineStr">
        <is>
          <t>customer155@example.com</t>
        </is>
      </c>
      <c r="S928">
        <f>+919854786001</f>
        <v/>
      </c>
      <c r="T928" t="inlineStr">
        <is>
          <t>[]</t>
        </is>
      </c>
      <c r="U928" t="n">
        <v>19.98</v>
      </c>
      <c r="V928" t="n">
        <v>3.6</v>
      </c>
      <c r="Y928" s="1" t="n">
        <v>46152.14457175926</v>
      </c>
    </row>
    <row r="929">
      <c r="A929" t="inlineStr">
        <is>
          <t>pay_DgGGxremnFLhcQ</t>
        </is>
      </c>
      <c r="B929" t="n">
        <v>1799</v>
      </c>
      <c r="C929" t="inlineStr">
        <is>
          <t>INR</t>
        </is>
      </c>
      <c r="D929" t="inlineStr">
        <is>
          <t>captured</t>
        </is>
      </c>
      <c r="E929" t="inlineStr">
        <is>
          <t>order_O1Zwi3sBM19tsV</t>
        </is>
      </c>
      <c r="G929" t="n">
        <v>0</v>
      </c>
      <c r="H929" t="inlineStr">
        <is>
          <t>upi</t>
        </is>
      </c>
      <c r="I929" t="n">
        <v>0</v>
      </c>
      <c r="J929" t="n">
        <v>0</v>
      </c>
      <c r="L929" t="n">
        <v>1</v>
      </c>
      <c r="R929" t="inlineStr">
        <is>
          <t>customer808@example.com</t>
        </is>
      </c>
      <c r="S929">
        <f>+919833647884</f>
        <v/>
      </c>
      <c r="T929" t="inlineStr">
        <is>
          <t>[]</t>
        </is>
      </c>
      <c r="U929" t="n">
        <v>35.98</v>
      </c>
      <c r="V929" t="n">
        <v>6.48</v>
      </c>
      <c r="Y929" s="1" t="n">
        <v>46156.90091435185</v>
      </c>
    </row>
    <row r="930">
      <c r="A930" t="inlineStr">
        <is>
          <t>pay_vAprFDaIj5nElN</t>
        </is>
      </c>
      <c r="B930" t="n">
        <v>2499</v>
      </c>
      <c r="C930" t="inlineStr">
        <is>
          <t>INR</t>
        </is>
      </c>
      <c r="D930" t="inlineStr">
        <is>
          <t>failed</t>
        </is>
      </c>
      <c r="E930" t="inlineStr">
        <is>
          <t>order_KI5wHRotF4mAWg</t>
        </is>
      </c>
      <c r="G930" t="n">
        <v>0</v>
      </c>
      <c r="H930" t="inlineStr">
        <is>
          <t>card</t>
        </is>
      </c>
      <c r="I930" t="n">
        <v>0</v>
      </c>
      <c r="J930" t="n">
        <v>0</v>
      </c>
      <c r="L930" t="n">
        <v>0</v>
      </c>
      <c r="R930" t="inlineStr">
        <is>
          <t>customer246@example.com</t>
        </is>
      </c>
      <c r="S930">
        <f>+919831986810</f>
        <v/>
      </c>
      <c r="T930" t="inlineStr">
        <is>
          <t>[]</t>
        </is>
      </c>
      <c r="W930" t="inlineStr">
        <is>
          <t>BAD_REQUEST_ERROR</t>
        </is>
      </c>
      <c r="X930" t="inlineStr">
        <is>
          <t>Payment failed due to incorrect OTP</t>
        </is>
      </c>
      <c r="Y930" s="1" t="n">
        <v>46166.09185185185</v>
      </c>
    </row>
    <row r="931">
      <c r="A931" t="inlineStr">
        <is>
          <t>pay_RuXAxEyA1OJ74s</t>
        </is>
      </c>
      <c r="B931" t="n">
        <v>999</v>
      </c>
      <c r="C931" t="inlineStr">
        <is>
          <t>INR</t>
        </is>
      </c>
      <c r="D931" t="inlineStr">
        <is>
          <t>failed</t>
        </is>
      </c>
      <c r="E931" t="inlineStr">
        <is>
          <t>order_mGB05mbw1I0Hw0</t>
        </is>
      </c>
      <c r="G931" t="n">
        <v>0</v>
      </c>
      <c r="H931" t="inlineStr">
        <is>
          <t>card</t>
        </is>
      </c>
      <c r="I931" t="n">
        <v>0</v>
      </c>
      <c r="J931" t="n">
        <v>0</v>
      </c>
      <c r="L931" t="n">
        <v>0</v>
      </c>
      <c r="R931" t="inlineStr">
        <is>
          <t>customer861@example.com</t>
        </is>
      </c>
      <c r="S931">
        <f>+919899416365</f>
        <v/>
      </c>
      <c r="T931" t="inlineStr">
        <is>
          <t>[]</t>
        </is>
      </c>
      <c r="W931" t="inlineStr">
        <is>
          <t>BAD_REQUEST_ERROR</t>
        </is>
      </c>
      <c r="X931" t="inlineStr">
        <is>
          <t>Payment failed due to incorrect OTP</t>
        </is>
      </c>
      <c r="Y931" s="1" t="n">
        <v>46159.12047453703</v>
      </c>
    </row>
    <row r="932">
      <c r="A932" t="inlineStr">
        <is>
          <t>pay_HqwuA8srBVY1DP</t>
        </is>
      </c>
      <c r="B932" t="n">
        <v>499</v>
      </c>
      <c r="C932" t="inlineStr">
        <is>
          <t>INR</t>
        </is>
      </c>
      <c r="D932" t="inlineStr">
        <is>
          <t>refunded</t>
        </is>
      </c>
      <c r="E932" t="inlineStr">
        <is>
          <t>order_fnmfDE98L8Hqzd</t>
        </is>
      </c>
      <c r="G932" t="n">
        <v>0</v>
      </c>
      <c r="H932" t="inlineStr">
        <is>
          <t>upi</t>
        </is>
      </c>
      <c r="I932" t="n">
        <v>499</v>
      </c>
      <c r="J932" t="n">
        <v>0</v>
      </c>
      <c r="K932" t="inlineStr">
        <is>
          <t>full</t>
        </is>
      </c>
      <c r="L932" t="n">
        <v>1</v>
      </c>
      <c r="R932" t="inlineStr">
        <is>
          <t>customer71@example.com</t>
        </is>
      </c>
      <c r="S932">
        <f>+919888043461</f>
        <v/>
      </c>
      <c r="T932" t="inlineStr">
        <is>
          <t>[]</t>
        </is>
      </c>
      <c r="U932" t="n">
        <v>9.98</v>
      </c>
      <c r="V932" t="n">
        <v>1.8</v>
      </c>
      <c r="Y932" s="1" t="n">
        <v>46173.2755787037</v>
      </c>
    </row>
    <row r="933">
      <c r="A933" t="inlineStr">
        <is>
          <t>pay_NEUGOdFhIfuHSt</t>
        </is>
      </c>
      <c r="B933" t="n">
        <v>999</v>
      </c>
      <c r="C933" t="inlineStr">
        <is>
          <t>INR</t>
        </is>
      </c>
      <c r="D933" t="inlineStr">
        <is>
          <t>failed</t>
        </is>
      </c>
      <c r="E933" t="inlineStr">
        <is>
          <t>order_INhKPBV6Z6M6Bp</t>
        </is>
      </c>
      <c r="G933" t="n">
        <v>0</v>
      </c>
      <c r="H933" t="inlineStr">
        <is>
          <t>netbanking</t>
        </is>
      </c>
      <c r="I933" t="n">
        <v>0</v>
      </c>
      <c r="J933" t="n">
        <v>0</v>
      </c>
      <c r="L933" t="n">
        <v>0</v>
      </c>
      <c r="R933" t="inlineStr">
        <is>
          <t>customer358@example.com</t>
        </is>
      </c>
      <c r="S933">
        <f>+919878677763</f>
        <v/>
      </c>
      <c r="T933" t="inlineStr">
        <is>
          <t>[]</t>
        </is>
      </c>
      <c r="W933" t="inlineStr">
        <is>
          <t>BAD_REQUEST_ERROR</t>
        </is>
      </c>
      <c r="X933" t="inlineStr">
        <is>
          <t>Bank server unavailable</t>
        </is>
      </c>
      <c r="Y933" s="1" t="n">
        <v>46146.72362268518</v>
      </c>
    </row>
    <row r="934">
      <c r="A934" t="inlineStr">
        <is>
          <t>pay_m3LpirOaIBf8Gx</t>
        </is>
      </c>
      <c r="B934" t="n">
        <v>999</v>
      </c>
      <c r="C934" t="inlineStr">
        <is>
          <t>INR</t>
        </is>
      </c>
      <c r="D934" t="inlineStr">
        <is>
          <t>failed</t>
        </is>
      </c>
      <c r="E934" t="inlineStr">
        <is>
          <t>order_INhKPBV6Z6M6Bp</t>
        </is>
      </c>
      <c r="G934" t="n">
        <v>0</v>
      </c>
      <c r="H934" t="inlineStr">
        <is>
          <t>upi</t>
        </is>
      </c>
      <c r="I934" t="n">
        <v>0</v>
      </c>
      <c r="J934" t="n">
        <v>0</v>
      </c>
      <c r="L934" t="n">
        <v>0</v>
      </c>
      <c r="R934" t="inlineStr">
        <is>
          <t>customer752@example.com</t>
        </is>
      </c>
      <c r="S934">
        <f>+919841788677</f>
        <v/>
      </c>
      <c r="T934" t="inlineStr">
        <is>
          <t>[]</t>
        </is>
      </c>
      <c r="W934" t="inlineStr">
        <is>
          <t>BAD_REQUEST_ERROR</t>
        </is>
      </c>
      <c r="X934" t="inlineStr">
        <is>
          <t>UPI app declined the request</t>
        </is>
      </c>
      <c r="Y934" s="1" t="n">
        <v>46146.72900462963</v>
      </c>
    </row>
    <row r="935">
      <c r="A935" t="inlineStr">
        <is>
          <t>pay_qWfWPl4A3Qi3dk</t>
        </is>
      </c>
      <c r="B935" t="n">
        <v>2499</v>
      </c>
      <c r="C935" t="inlineStr">
        <is>
          <t>INR</t>
        </is>
      </c>
      <c r="D935" t="inlineStr">
        <is>
          <t>captured</t>
        </is>
      </c>
      <c r="E935" t="inlineStr">
        <is>
          <t>order_L7QY5wcJJRiHYg</t>
        </is>
      </c>
      <c r="G935" t="n">
        <v>0</v>
      </c>
      <c r="H935" t="inlineStr">
        <is>
          <t>upi</t>
        </is>
      </c>
      <c r="I935" t="n">
        <v>0</v>
      </c>
      <c r="J935" t="n">
        <v>0</v>
      </c>
      <c r="L935" t="n">
        <v>1</v>
      </c>
      <c r="R935" t="inlineStr">
        <is>
          <t>customer582@example.com</t>
        </is>
      </c>
      <c r="S935">
        <f>+919844381126</f>
        <v/>
      </c>
      <c r="T935" t="inlineStr">
        <is>
          <t>[]</t>
        </is>
      </c>
      <c r="U935" t="n">
        <v>49.98</v>
      </c>
      <c r="V935" t="n">
        <v>9</v>
      </c>
      <c r="Y935" s="1" t="n">
        <v>46169.63524305556</v>
      </c>
    </row>
    <row r="936">
      <c r="A936" t="inlineStr">
        <is>
          <t>pay_P88OHiZdOUxmJf</t>
        </is>
      </c>
      <c r="B936" t="n">
        <v>2499</v>
      </c>
      <c r="C936" t="inlineStr">
        <is>
          <t>INR</t>
        </is>
      </c>
      <c r="D936" t="inlineStr">
        <is>
          <t>captured</t>
        </is>
      </c>
      <c r="E936" t="inlineStr">
        <is>
          <t>order_DnDdo1CUH8O2u9</t>
        </is>
      </c>
      <c r="G936" t="n">
        <v>0</v>
      </c>
      <c r="H936" t="inlineStr">
        <is>
          <t>upi</t>
        </is>
      </c>
      <c r="I936" t="n">
        <v>0</v>
      </c>
      <c r="J936" t="n">
        <v>0</v>
      </c>
      <c r="L936" t="n">
        <v>1</v>
      </c>
      <c r="R936" t="inlineStr">
        <is>
          <t>customer169@example.com</t>
        </is>
      </c>
      <c r="S936">
        <f>+919868131003</f>
        <v/>
      </c>
      <c r="T936" t="inlineStr">
        <is>
          <t>[]</t>
        </is>
      </c>
      <c r="U936" t="n">
        <v>49.98</v>
      </c>
      <c r="V936" t="n">
        <v>9</v>
      </c>
      <c r="Y936" s="1" t="n">
        <v>46165.13332175926</v>
      </c>
    </row>
    <row r="937">
      <c r="A937" t="inlineStr">
        <is>
          <t>pay_wlkxDsatQJY44f</t>
        </is>
      </c>
      <c r="B937" t="n">
        <v>2499</v>
      </c>
      <c r="C937" t="inlineStr">
        <is>
          <t>INR</t>
        </is>
      </c>
      <c r="D937" t="inlineStr">
        <is>
          <t>captured</t>
        </is>
      </c>
      <c r="E937" t="inlineStr">
        <is>
          <t>order_97p3XTYNVHeVBS</t>
        </is>
      </c>
      <c r="G937" t="n">
        <v>0</v>
      </c>
      <c r="H937" t="inlineStr">
        <is>
          <t>upi</t>
        </is>
      </c>
      <c r="I937" t="n">
        <v>0</v>
      </c>
      <c r="J937" t="n">
        <v>0</v>
      </c>
      <c r="L937" t="n">
        <v>1</v>
      </c>
      <c r="R937" t="inlineStr">
        <is>
          <t>customer16@example.com</t>
        </is>
      </c>
      <c r="S937">
        <f>+919886774972</f>
        <v/>
      </c>
      <c r="T937" t="inlineStr">
        <is>
          <t>[]</t>
        </is>
      </c>
      <c r="U937" t="n">
        <v>49.98</v>
      </c>
      <c r="V937" t="n">
        <v>9</v>
      </c>
      <c r="Y937" s="1" t="n">
        <v>46166.00118055556</v>
      </c>
    </row>
    <row r="938">
      <c r="A938" t="inlineStr">
        <is>
          <t>pay_YXAcFddmWqRujl</t>
        </is>
      </c>
      <c r="B938" t="n">
        <v>999</v>
      </c>
      <c r="C938" t="inlineStr">
        <is>
          <t>INR</t>
        </is>
      </c>
      <c r="D938" t="inlineStr">
        <is>
          <t>captured</t>
        </is>
      </c>
      <c r="E938" t="inlineStr">
        <is>
          <t>order_CbPtyaptfk8ywP</t>
        </is>
      </c>
      <c r="G938" t="n">
        <v>0</v>
      </c>
      <c r="H938" t="inlineStr">
        <is>
          <t>upi</t>
        </is>
      </c>
      <c r="I938" t="n">
        <v>0</v>
      </c>
      <c r="J938" t="n">
        <v>0</v>
      </c>
      <c r="L938" t="n">
        <v>1</v>
      </c>
      <c r="R938" t="inlineStr">
        <is>
          <t>customer309@example.com</t>
        </is>
      </c>
      <c r="S938">
        <f>+919848128162</f>
        <v/>
      </c>
      <c r="T938" t="inlineStr">
        <is>
          <t>[]</t>
        </is>
      </c>
      <c r="U938" t="n">
        <v>19.98</v>
      </c>
      <c r="V938" t="n">
        <v>3.6</v>
      </c>
      <c r="Y938" s="1" t="n">
        <v>46144.49936342592</v>
      </c>
    </row>
    <row r="939">
      <c r="A939" t="inlineStr">
        <is>
          <t>pay_2XhKbU83mrEsqi</t>
        </is>
      </c>
      <c r="B939" t="n">
        <v>1499</v>
      </c>
      <c r="C939" t="inlineStr">
        <is>
          <t>INR</t>
        </is>
      </c>
      <c r="D939" t="inlineStr">
        <is>
          <t>captured</t>
        </is>
      </c>
      <c r="E939" t="inlineStr">
        <is>
          <t>order_tWaFZphVuOSqnF</t>
        </is>
      </c>
      <c r="G939" t="n">
        <v>0</v>
      </c>
      <c r="H939" t="inlineStr">
        <is>
          <t>upi</t>
        </is>
      </c>
      <c r="I939" t="n">
        <v>0</v>
      </c>
      <c r="J939" t="n">
        <v>0</v>
      </c>
      <c r="L939" t="n">
        <v>1</v>
      </c>
      <c r="R939" t="inlineStr">
        <is>
          <t>customer187@example.com</t>
        </is>
      </c>
      <c r="S939">
        <f>+919867405506</f>
        <v/>
      </c>
      <c r="T939" t="inlineStr">
        <is>
          <t>[]</t>
        </is>
      </c>
      <c r="U939" t="n">
        <v>29.98</v>
      </c>
      <c r="V939" t="n">
        <v>5.4</v>
      </c>
      <c r="Y939" s="1" t="n">
        <v>46169.95619212963</v>
      </c>
    </row>
    <row r="940">
      <c r="A940" t="inlineStr">
        <is>
          <t>pay_JCUe6X9BYQSgeO</t>
        </is>
      </c>
      <c r="B940" t="n">
        <v>999</v>
      </c>
      <c r="C940" t="inlineStr">
        <is>
          <t>INR</t>
        </is>
      </c>
      <c r="D940" t="inlineStr">
        <is>
          <t>captured</t>
        </is>
      </c>
      <c r="E940" t="inlineStr">
        <is>
          <t>order_bfjdYmsJLF44nx</t>
        </is>
      </c>
      <c r="G940" t="n">
        <v>0</v>
      </c>
      <c r="H940" t="inlineStr">
        <is>
          <t>netbanking</t>
        </is>
      </c>
      <c r="I940" t="n">
        <v>0</v>
      </c>
      <c r="J940" t="n">
        <v>0</v>
      </c>
      <c r="L940" t="n">
        <v>1</v>
      </c>
      <c r="R940" t="inlineStr">
        <is>
          <t>customer787@example.com</t>
        </is>
      </c>
      <c r="S940">
        <f>+919866957193</f>
        <v/>
      </c>
      <c r="T940" t="inlineStr">
        <is>
          <t>[]</t>
        </is>
      </c>
      <c r="U940" t="n">
        <v>19.98</v>
      </c>
      <c r="V940" t="n">
        <v>3.6</v>
      </c>
      <c r="Y940" s="1" t="n">
        <v>46164.29439814815</v>
      </c>
    </row>
    <row r="941">
      <c r="A941" t="inlineStr">
        <is>
          <t>pay_Bo1sMbmZ5UqxdX</t>
        </is>
      </c>
      <c r="B941" t="n">
        <v>499</v>
      </c>
      <c r="C941" t="inlineStr">
        <is>
          <t>INR</t>
        </is>
      </c>
      <c r="D941" t="inlineStr">
        <is>
          <t>captured</t>
        </is>
      </c>
      <c r="E941" t="inlineStr">
        <is>
          <t>order_vnzfiYPWahZC7l</t>
        </is>
      </c>
      <c r="G941" t="n">
        <v>0</v>
      </c>
      <c r="H941" t="inlineStr">
        <is>
          <t>upi</t>
        </is>
      </c>
      <c r="I941" t="n">
        <v>0</v>
      </c>
      <c r="J941" t="n">
        <v>0</v>
      </c>
      <c r="L941" t="n">
        <v>1</v>
      </c>
      <c r="R941" t="inlineStr">
        <is>
          <t>customer690@example.com</t>
        </is>
      </c>
      <c r="S941">
        <f>+919865942045</f>
        <v/>
      </c>
      <c r="T941" t="inlineStr">
        <is>
          <t>[]</t>
        </is>
      </c>
      <c r="U941" t="n">
        <v>9.98</v>
      </c>
      <c r="V941" t="n">
        <v>1.8</v>
      </c>
      <c r="Y941" s="1" t="n">
        <v>46159.87868055556</v>
      </c>
    </row>
    <row r="942">
      <c r="A942" t="inlineStr">
        <is>
          <t>pay_BXtk83zrIdQQJt</t>
        </is>
      </c>
      <c r="B942" t="n">
        <v>3999</v>
      </c>
      <c r="C942" t="inlineStr">
        <is>
          <t>INR</t>
        </is>
      </c>
      <c r="D942" t="inlineStr">
        <is>
          <t>captured</t>
        </is>
      </c>
      <c r="E942" t="inlineStr">
        <is>
          <t>order_2oyfmAKQOniUgX</t>
        </is>
      </c>
      <c r="G942" t="n">
        <v>0</v>
      </c>
      <c r="H942" t="inlineStr">
        <is>
          <t>upi</t>
        </is>
      </c>
      <c r="I942" t="n">
        <v>0</v>
      </c>
      <c r="J942" t="n">
        <v>0</v>
      </c>
      <c r="L942" t="n">
        <v>1</v>
      </c>
      <c r="R942" t="inlineStr">
        <is>
          <t>customer765@example.com</t>
        </is>
      </c>
      <c r="S942">
        <f>+919872912037</f>
        <v/>
      </c>
      <c r="T942" t="inlineStr">
        <is>
          <t>[]</t>
        </is>
      </c>
      <c r="U942" t="n">
        <v>79.98</v>
      </c>
      <c r="V942" t="n">
        <v>14.4</v>
      </c>
      <c r="Y942" s="1" t="n">
        <v>46144.75009259259</v>
      </c>
    </row>
    <row r="943">
      <c r="A943" t="inlineStr">
        <is>
          <t>pay_ia07RDHhAw0j8H</t>
        </is>
      </c>
      <c r="B943" t="n">
        <v>3999</v>
      </c>
      <c r="C943" t="inlineStr">
        <is>
          <t>INR</t>
        </is>
      </c>
      <c r="D943" t="inlineStr">
        <is>
          <t>failed</t>
        </is>
      </c>
      <c r="E943" t="inlineStr">
        <is>
          <t>order_sdk2jCbTlKl4Si</t>
        </is>
      </c>
      <c r="G943" t="n">
        <v>0</v>
      </c>
      <c r="H943" t="inlineStr">
        <is>
          <t>card</t>
        </is>
      </c>
      <c r="I943" t="n">
        <v>0</v>
      </c>
      <c r="J943" t="n">
        <v>0</v>
      </c>
      <c r="L943" t="n">
        <v>0</v>
      </c>
      <c r="R943" t="inlineStr">
        <is>
          <t>customer554@example.com</t>
        </is>
      </c>
      <c r="S943">
        <f>+919860624903</f>
        <v/>
      </c>
      <c r="T943" t="inlineStr">
        <is>
          <t>[]</t>
        </is>
      </c>
      <c r="W943" t="inlineStr">
        <is>
          <t>BAD_REQUEST_ERROR</t>
        </is>
      </c>
      <c r="X943" t="inlineStr">
        <is>
          <t>Card declined by bank</t>
        </is>
      </c>
      <c r="Y943" s="1" t="n">
        <v>46154.5577662037</v>
      </c>
    </row>
    <row r="944">
      <c r="A944" t="inlineStr">
        <is>
          <t>pay_E15wSS5iS9KvT5</t>
        </is>
      </c>
      <c r="B944" t="n">
        <v>1499</v>
      </c>
      <c r="C944" t="inlineStr">
        <is>
          <t>INR</t>
        </is>
      </c>
      <c r="D944" t="inlineStr">
        <is>
          <t>captured</t>
        </is>
      </c>
      <c r="E944" t="inlineStr">
        <is>
          <t>order_D1wBhGughAkIwX</t>
        </is>
      </c>
      <c r="G944" t="n">
        <v>0</v>
      </c>
      <c r="H944" t="inlineStr">
        <is>
          <t>upi</t>
        </is>
      </c>
      <c r="I944" t="n">
        <v>0</v>
      </c>
      <c r="J944" t="n">
        <v>0</v>
      </c>
      <c r="L944" t="n">
        <v>1</v>
      </c>
      <c r="R944" t="inlineStr">
        <is>
          <t>customer347@example.com</t>
        </is>
      </c>
      <c r="S944">
        <f>+919877247715</f>
        <v/>
      </c>
      <c r="T944" t="inlineStr">
        <is>
          <t>[]</t>
        </is>
      </c>
      <c r="U944" t="n">
        <v>29.98</v>
      </c>
      <c r="V944" t="n">
        <v>5.4</v>
      </c>
      <c r="Y944" s="1" t="n">
        <v>46165.86900462963</v>
      </c>
    </row>
    <row r="945">
      <c r="A945" t="inlineStr">
        <is>
          <t>pay_EFIA457HBvwtZa</t>
        </is>
      </c>
      <c r="B945" t="n">
        <v>499</v>
      </c>
      <c r="C945" t="inlineStr">
        <is>
          <t>INR</t>
        </is>
      </c>
      <c r="D945" t="inlineStr">
        <is>
          <t>captured</t>
        </is>
      </c>
      <c r="E945" t="inlineStr">
        <is>
          <t>order_947nJinSpNHEJQ</t>
        </is>
      </c>
      <c r="G945" t="n">
        <v>0</v>
      </c>
      <c r="H945" t="inlineStr">
        <is>
          <t>upi</t>
        </is>
      </c>
      <c r="I945" t="n">
        <v>0</v>
      </c>
      <c r="J945" t="n">
        <v>0</v>
      </c>
      <c r="L945" t="n">
        <v>1</v>
      </c>
      <c r="R945" t="inlineStr">
        <is>
          <t>customer772@example.com</t>
        </is>
      </c>
      <c r="S945">
        <f>+919841779804</f>
        <v/>
      </c>
      <c r="T945" t="inlineStr">
        <is>
          <t>[]</t>
        </is>
      </c>
      <c r="U945" t="n">
        <v>9.98</v>
      </c>
      <c r="V945" t="n">
        <v>1.8</v>
      </c>
      <c r="Y945" s="1" t="n">
        <v>46143.12381944444</v>
      </c>
    </row>
    <row r="946">
      <c r="A946" t="inlineStr">
        <is>
          <t>pay_gFYyUtgbhMuWJn</t>
        </is>
      </c>
      <c r="B946" t="n">
        <v>999</v>
      </c>
      <c r="C946" t="inlineStr">
        <is>
          <t>INR</t>
        </is>
      </c>
      <c r="D946" t="inlineStr">
        <is>
          <t>captured</t>
        </is>
      </c>
      <c r="E946" t="inlineStr">
        <is>
          <t>order_vcTA2trZD4H1Od</t>
        </is>
      </c>
      <c r="G946" t="n">
        <v>0</v>
      </c>
      <c r="H946" t="inlineStr">
        <is>
          <t>netbanking</t>
        </is>
      </c>
      <c r="I946" t="n">
        <v>0</v>
      </c>
      <c r="J946" t="n">
        <v>0</v>
      </c>
      <c r="L946" t="n">
        <v>1</v>
      </c>
      <c r="R946" t="inlineStr">
        <is>
          <t>customer108@example.com</t>
        </is>
      </c>
      <c r="S946">
        <f>+919895244722</f>
        <v/>
      </c>
      <c r="T946" t="inlineStr">
        <is>
          <t>[]</t>
        </is>
      </c>
      <c r="U946" t="n">
        <v>19.98</v>
      </c>
      <c r="V946" t="n">
        <v>3.6</v>
      </c>
      <c r="Y946" s="1" t="n">
        <v>46147.91077546297</v>
      </c>
    </row>
    <row r="947">
      <c r="A947" t="inlineStr">
        <is>
          <t>pay_dqi2784f4bYo4t</t>
        </is>
      </c>
      <c r="B947" t="n">
        <v>3999</v>
      </c>
      <c r="C947" t="inlineStr">
        <is>
          <t>INR</t>
        </is>
      </c>
      <c r="D947" t="inlineStr">
        <is>
          <t>captured</t>
        </is>
      </c>
      <c r="E947" t="inlineStr">
        <is>
          <t>order_kQEafPskiUdsma</t>
        </is>
      </c>
      <c r="G947" t="n">
        <v>0</v>
      </c>
      <c r="H947" t="inlineStr">
        <is>
          <t>upi</t>
        </is>
      </c>
      <c r="I947" t="n">
        <v>0</v>
      </c>
      <c r="J947" t="n">
        <v>0</v>
      </c>
      <c r="L947" t="n">
        <v>1</v>
      </c>
      <c r="R947" t="inlineStr">
        <is>
          <t>customer184@example.com</t>
        </is>
      </c>
      <c r="S947">
        <f>+919862247444</f>
        <v/>
      </c>
      <c r="T947" t="inlineStr">
        <is>
          <t>[]</t>
        </is>
      </c>
      <c r="U947" t="n">
        <v>79.98</v>
      </c>
      <c r="V947" t="n">
        <v>14.4</v>
      </c>
      <c r="Y947" s="1" t="n">
        <v>46149.15695601852</v>
      </c>
    </row>
    <row r="948">
      <c r="A948" t="inlineStr">
        <is>
          <t>pay_qlxHU1EKYOTzym</t>
        </is>
      </c>
      <c r="B948" t="n">
        <v>499</v>
      </c>
      <c r="C948" t="inlineStr">
        <is>
          <t>INR</t>
        </is>
      </c>
      <c r="D948" t="inlineStr">
        <is>
          <t>captured</t>
        </is>
      </c>
      <c r="E948" t="inlineStr">
        <is>
          <t>order_8d8bHuMJd4iT74</t>
        </is>
      </c>
      <c r="G948" t="n">
        <v>0</v>
      </c>
      <c r="H948" t="inlineStr">
        <is>
          <t>upi</t>
        </is>
      </c>
      <c r="I948" t="n">
        <v>0</v>
      </c>
      <c r="J948" t="n">
        <v>0</v>
      </c>
      <c r="L948" t="n">
        <v>1</v>
      </c>
      <c r="R948" t="inlineStr">
        <is>
          <t>customer303@example.com</t>
        </is>
      </c>
      <c r="S948">
        <f>+919841773175</f>
        <v/>
      </c>
      <c r="T948" t="inlineStr">
        <is>
          <t>[]</t>
        </is>
      </c>
      <c r="U948" t="n">
        <v>9.98</v>
      </c>
      <c r="V948" t="n">
        <v>1.8</v>
      </c>
      <c r="Y948" s="1" t="n">
        <v>46153.35375</v>
      </c>
    </row>
    <row r="949">
      <c r="A949" t="inlineStr">
        <is>
          <t>pay_1gcNkxjRfFBr1G</t>
        </is>
      </c>
      <c r="B949" t="n">
        <v>2499</v>
      </c>
      <c r="C949" t="inlineStr">
        <is>
          <t>INR</t>
        </is>
      </c>
      <c r="D949" t="inlineStr">
        <is>
          <t>captured</t>
        </is>
      </c>
      <c r="E949" t="inlineStr">
        <is>
          <t>order_dpNm2Wkd4fH3vg</t>
        </is>
      </c>
      <c r="G949" t="n">
        <v>0</v>
      </c>
      <c r="H949" t="inlineStr">
        <is>
          <t>upi</t>
        </is>
      </c>
      <c r="I949" t="n">
        <v>0</v>
      </c>
      <c r="J949" t="n">
        <v>0</v>
      </c>
      <c r="L949" t="n">
        <v>1</v>
      </c>
      <c r="R949" t="inlineStr">
        <is>
          <t>customer391@example.com</t>
        </is>
      </c>
      <c r="S949">
        <f>+919880961648</f>
        <v/>
      </c>
      <c r="T949" t="inlineStr">
        <is>
          <t>[]</t>
        </is>
      </c>
      <c r="U949" t="n">
        <v>49.98</v>
      </c>
      <c r="V949" t="n">
        <v>9</v>
      </c>
      <c r="Y949" s="1" t="n">
        <v>46165.72674768518</v>
      </c>
    </row>
    <row r="950">
      <c r="A950" t="inlineStr">
        <is>
          <t>pay_vAPXXiMQHwG9Nz</t>
        </is>
      </c>
      <c r="B950" t="n">
        <v>499</v>
      </c>
      <c r="C950" t="inlineStr">
        <is>
          <t>INR</t>
        </is>
      </c>
      <c r="D950" t="inlineStr">
        <is>
          <t>captured</t>
        </is>
      </c>
      <c r="E950" t="inlineStr">
        <is>
          <t>order_tcMT4Pbp2tKte6</t>
        </is>
      </c>
      <c r="G950" t="n">
        <v>0</v>
      </c>
      <c r="H950" t="inlineStr">
        <is>
          <t>card</t>
        </is>
      </c>
      <c r="I950" t="n">
        <v>0</v>
      </c>
      <c r="J950" t="n">
        <v>0</v>
      </c>
      <c r="L950" t="n">
        <v>1</v>
      </c>
      <c r="R950" t="inlineStr">
        <is>
          <t>customer392@example.com</t>
        </is>
      </c>
      <c r="S950">
        <f>+919868523726</f>
        <v/>
      </c>
      <c r="T950" t="inlineStr">
        <is>
          <t>[]</t>
        </is>
      </c>
      <c r="U950" t="n">
        <v>9.98</v>
      </c>
      <c r="V950" t="n">
        <v>1.8</v>
      </c>
      <c r="Y950" s="1" t="n">
        <v>46164.7941087963</v>
      </c>
    </row>
    <row r="951">
      <c r="A951" t="inlineStr">
        <is>
          <t>pay_jiRgL9Xjtebdye</t>
        </is>
      </c>
      <c r="B951" t="n">
        <v>2499</v>
      </c>
      <c r="C951" t="inlineStr">
        <is>
          <t>INR</t>
        </is>
      </c>
      <c r="D951" t="inlineStr">
        <is>
          <t>captured</t>
        </is>
      </c>
      <c r="E951" t="inlineStr">
        <is>
          <t>order_qGlsoezS10hHDA</t>
        </is>
      </c>
      <c r="G951" t="n">
        <v>0</v>
      </c>
      <c r="H951" t="inlineStr">
        <is>
          <t>upi</t>
        </is>
      </c>
      <c r="I951" t="n">
        <v>0</v>
      </c>
      <c r="J951" t="n">
        <v>0</v>
      </c>
      <c r="L951" t="n">
        <v>1</v>
      </c>
      <c r="R951" t="inlineStr">
        <is>
          <t>customer499@example.com</t>
        </is>
      </c>
      <c r="S951">
        <f>+919897739408</f>
        <v/>
      </c>
      <c r="T951" t="inlineStr">
        <is>
          <t>[]</t>
        </is>
      </c>
      <c r="U951" t="n">
        <v>49.98</v>
      </c>
      <c r="V951" t="n">
        <v>9</v>
      </c>
      <c r="Y951" s="1" t="n">
        <v>46166.40234953703</v>
      </c>
    </row>
    <row r="952">
      <c r="A952" t="inlineStr">
        <is>
          <t>pay_7xs5szlzdM5z6t</t>
        </is>
      </c>
      <c r="B952" t="n">
        <v>999</v>
      </c>
      <c r="C952" t="inlineStr">
        <is>
          <t>INR</t>
        </is>
      </c>
      <c r="D952" t="inlineStr">
        <is>
          <t>failed</t>
        </is>
      </c>
      <c r="E952" t="inlineStr">
        <is>
          <t>order_psZCpgI695sYMC</t>
        </is>
      </c>
      <c r="G952" t="n">
        <v>0</v>
      </c>
      <c r="H952" t="inlineStr">
        <is>
          <t>card</t>
        </is>
      </c>
      <c r="I952" t="n">
        <v>0</v>
      </c>
      <c r="J952" t="n">
        <v>0</v>
      </c>
      <c r="L952" t="n">
        <v>0</v>
      </c>
      <c r="R952" t="inlineStr">
        <is>
          <t>customer212@example.com</t>
        </is>
      </c>
      <c r="S952">
        <f>+919847812072</f>
        <v/>
      </c>
      <c r="T952" t="inlineStr">
        <is>
          <t>[]</t>
        </is>
      </c>
      <c r="W952" t="inlineStr">
        <is>
          <t>BAD_REQUEST_ERROR</t>
        </is>
      </c>
      <c r="X952" t="inlineStr">
        <is>
          <t>Card declined by bank</t>
        </is>
      </c>
      <c r="Y952" s="1" t="n">
        <v>46161.1469212963</v>
      </c>
    </row>
    <row r="953">
      <c r="A953" t="inlineStr">
        <is>
          <t>pay_XU7g4tpHzZCUqr</t>
        </is>
      </c>
      <c r="B953" t="n">
        <v>1499</v>
      </c>
      <c r="C953" t="inlineStr">
        <is>
          <t>INR</t>
        </is>
      </c>
      <c r="D953" t="inlineStr">
        <is>
          <t>failed</t>
        </is>
      </c>
      <c r="E953" t="inlineStr">
        <is>
          <t>order_TbTMy6i14B7HIX</t>
        </is>
      </c>
      <c r="G953" t="n">
        <v>0</v>
      </c>
      <c r="H953" t="inlineStr">
        <is>
          <t>upi</t>
        </is>
      </c>
      <c r="I953" t="n">
        <v>0</v>
      </c>
      <c r="J953" t="n">
        <v>0</v>
      </c>
      <c r="L953" t="n">
        <v>0</v>
      </c>
      <c r="R953" t="inlineStr">
        <is>
          <t>customer441@example.com</t>
        </is>
      </c>
      <c r="S953">
        <f>+919840666033</f>
        <v/>
      </c>
      <c r="T953" t="inlineStr">
        <is>
          <t>[]</t>
        </is>
      </c>
      <c r="W953" t="inlineStr">
        <is>
          <t>BAD_REQUEST_ERROR</t>
        </is>
      </c>
      <c r="X953" t="inlineStr">
        <is>
          <t>UPI app declined the request</t>
        </is>
      </c>
      <c r="Y953" s="1" t="n">
        <v>46144.84489583333</v>
      </c>
    </row>
    <row r="954">
      <c r="A954" t="inlineStr">
        <is>
          <t>pay_3xEjB7kzGML20F</t>
        </is>
      </c>
      <c r="B954" t="n">
        <v>1499</v>
      </c>
      <c r="C954" t="inlineStr">
        <is>
          <t>INR</t>
        </is>
      </c>
      <c r="D954" t="inlineStr">
        <is>
          <t>captured</t>
        </is>
      </c>
      <c r="E954" t="inlineStr">
        <is>
          <t>order_vdkSdtDUNInB4Y</t>
        </is>
      </c>
      <c r="G954" t="n">
        <v>0</v>
      </c>
      <c r="H954" t="inlineStr">
        <is>
          <t>card</t>
        </is>
      </c>
      <c r="I954" t="n">
        <v>0</v>
      </c>
      <c r="J954" t="n">
        <v>0</v>
      </c>
      <c r="L954" t="n">
        <v>1</v>
      </c>
      <c r="R954" t="inlineStr">
        <is>
          <t>customer351@example.com</t>
        </is>
      </c>
      <c r="S954">
        <f>+919825470527</f>
        <v/>
      </c>
      <c r="T954" t="inlineStr">
        <is>
          <t>[]</t>
        </is>
      </c>
      <c r="U954" t="n">
        <v>29.98</v>
      </c>
      <c r="V954" t="n">
        <v>5.4</v>
      </c>
      <c r="Y954" s="1" t="n">
        <v>46172.10631944444</v>
      </c>
    </row>
    <row r="955">
      <c r="A955" t="inlineStr">
        <is>
          <t>pay_TjVOxizUbu5Ou6</t>
        </is>
      </c>
      <c r="B955" t="n">
        <v>2499</v>
      </c>
      <c r="C955" t="inlineStr">
        <is>
          <t>INR</t>
        </is>
      </c>
      <c r="D955" t="inlineStr">
        <is>
          <t>failed</t>
        </is>
      </c>
      <c r="E955" t="inlineStr">
        <is>
          <t>order_9KWOAYNqPV42A9</t>
        </is>
      </c>
      <c r="G955" t="n">
        <v>0</v>
      </c>
      <c r="H955" t="inlineStr">
        <is>
          <t>netbanking</t>
        </is>
      </c>
      <c r="I955" t="n">
        <v>0</v>
      </c>
      <c r="J955" t="n">
        <v>0</v>
      </c>
      <c r="L955" t="n">
        <v>0</v>
      </c>
      <c r="R955" t="inlineStr">
        <is>
          <t>customer659@example.com</t>
        </is>
      </c>
      <c r="S955">
        <f>+919814834350</f>
        <v/>
      </c>
      <c r="T955" t="inlineStr">
        <is>
          <t>[]</t>
        </is>
      </c>
      <c r="W955" t="inlineStr">
        <is>
          <t>BAD_REQUEST_ERROR</t>
        </is>
      </c>
      <c r="X955" t="inlineStr">
        <is>
          <t>Bank server unavailable</t>
        </is>
      </c>
      <c r="Y955" s="1" t="n">
        <v>46151.43174768519</v>
      </c>
    </row>
    <row r="956">
      <c r="A956" t="inlineStr">
        <is>
          <t>pay_ZOJb9bXnh2uiV5</t>
        </is>
      </c>
      <c r="B956" t="n">
        <v>2499</v>
      </c>
      <c r="C956" t="inlineStr">
        <is>
          <t>INR</t>
        </is>
      </c>
      <c r="D956" t="inlineStr">
        <is>
          <t>failed</t>
        </is>
      </c>
      <c r="E956" t="inlineStr">
        <is>
          <t>order_9KWOAYNqPV42A9</t>
        </is>
      </c>
      <c r="G956" t="n">
        <v>0</v>
      </c>
      <c r="H956" t="inlineStr">
        <is>
          <t>netbanking</t>
        </is>
      </c>
      <c r="I956" t="n">
        <v>0</v>
      </c>
      <c r="J956" t="n">
        <v>0</v>
      </c>
      <c r="L956" t="n">
        <v>0</v>
      </c>
      <c r="R956" t="inlineStr">
        <is>
          <t>customer283@example.com</t>
        </is>
      </c>
      <c r="S956">
        <f>+919843192581</f>
        <v/>
      </c>
      <c r="T956" t="inlineStr">
        <is>
          <t>[]</t>
        </is>
      </c>
      <c r="W956" t="inlineStr">
        <is>
          <t>BAD_REQUEST_ERROR</t>
        </is>
      </c>
      <c r="X956" t="inlineStr">
        <is>
          <t>Bank server unavailable</t>
        </is>
      </c>
      <c r="Y956" s="1" t="n">
        <v>46151.43829861111</v>
      </c>
    </row>
    <row r="957">
      <c r="A957" t="inlineStr">
        <is>
          <t>pay_vKf376SCFlyQ19</t>
        </is>
      </c>
      <c r="B957" t="n">
        <v>1799</v>
      </c>
      <c r="C957" t="inlineStr">
        <is>
          <t>INR</t>
        </is>
      </c>
      <c r="D957" t="inlineStr">
        <is>
          <t>captured</t>
        </is>
      </c>
      <c r="E957" t="inlineStr">
        <is>
          <t>order_h1Wfq5zcpguOOd</t>
        </is>
      </c>
      <c r="G957" t="n">
        <v>0</v>
      </c>
      <c r="H957" t="inlineStr">
        <is>
          <t>upi</t>
        </is>
      </c>
      <c r="I957" t="n">
        <v>0</v>
      </c>
      <c r="J957" t="n">
        <v>0</v>
      </c>
      <c r="L957" t="n">
        <v>1</v>
      </c>
      <c r="R957" t="inlineStr">
        <is>
          <t>customer293@example.com</t>
        </is>
      </c>
      <c r="S957">
        <f>+919890432939</f>
        <v/>
      </c>
      <c r="T957" t="inlineStr">
        <is>
          <t>[]</t>
        </is>
      </c>
      <c r="U957" t="n">
        <v>35.98</v>
      </c>
      <c r="V957" t="n">
        <v>6.48</v>
      </c>
      <c r="Y957" s="1" t="n">
        <v>46162.4390162037</v>
      </c>
    </row>
    <row r="958">
      <c r="A958" t="inlineStr">
        <is>
          <t>pay_gXmbzmla7RXPZ9</t>
        </is>
      </c>
      <c r="B958" t="n">
        <v>1499</v>
      </c>
      <c r="C958" t="inlineStr">
        <is>
          <t>INR</t>
        </is>
      </c>
      <c r="D958" t="inlineStr">
        <is>
          <t>captured</t>
        </is>
      </c>
      <c r="E958" t="inlineStr">
        <is>
          <t>order_fUATLnPZFsOe9G</t>
        </is>
      </c>
      <c r="G958" t="n">
        <v>0</v>
      </c>
      <c r="H958" t="inlineStr">
        <is>
          <t>card</t>
        </is>
      </c>
      <c r="I958" t="n">
        <v>0</v>
      </c>
      <c r="J958" t="n">
        <v>0</v>
      </c>
      <c r="L958" t="n">
        <v>1</v>
      </c>
      <c r="R958" t="inlineStr">
        <is>
          <t>customer294@example.com</t>
        </is>
      </c>
      <c r="S958">
        <f>+919880911332</f>
        <v/>
      </c>
      <c r="T958" t="inlineStr">
        <is>
          <t>[]</t>
        </is>
      </c>
      <c r="U958" t="n">
        <v>29.98</v>
      </c>
      <c r="V958" t="n">
        <v>5.4</v>
      </c>
      <c r="Y958" s="1" t="n">
        <v>46172.64148148148</v>
      </c>
    </row>
    <row r="959">
      <c r="A959" t="inlineStr">
        <is>
          <t>pay_3GczMY7L2MlAtl</t>
        </is>
      </c>
      <c r="B959" t="n">
        <v>1499</v>
      </c>
      <c r="C959" t="inlineStr">
        <is>
          <t>INR</t>
        </is>
      </c>
      <c r="D959" t="inlineStr">
        <is>
          <t>captured</t>
        </is>
      </c>
      <c r="E959" t="inlineStr">
        <is>
          <t>order_H26s9lFX5MxW4Q</t>
        </is>
      </c>
      <c r="G959" t="n">
        <v>0</v>
      </c>
      <c r="H959" t="inlineStr">
        <is>
          <t>netbanking</t>
        </is>
      </c>
      <c r="I959" t="n">
        <v>0</v>
      </c>
      <c r="J959" t="n">
        <v>0</v>
      </c>
      <c r="L959" t="n">
        <v>1</v>
      </c>
      <c r="R959" t="inlineStr">
        <is>
          <t>customer332@example.com</t>
        </is>
      </c>
      <c r="S959">
        <f>+919825136310</f>
        <v/>
      </c>
      <c r="T959" t="inlineStr">
        <is>
          <t>[]</t>
        </is>
      </c>
      <c r="U959" t="n">
        <v>29.98</v>
      </c>
      <c r="V959" t="n">
        <v>5.4</v>
      </c>
      <c r="Y959" s="1" t="n">
        <v>46154.36262731482</v>
      </c>
    </row>
    <row r="960">
      <c r="A960" t="inlineStr">
        <is>
          <t>pay_2N9vB4Gb7CPQfL</t>
        </is>
      </c>
      <c r="B960" t="n">
        <v>1799</v>
      </c>
      <c r="C960" t="inlineStr">
        <is>
          <t>INR</t>
        </is>
      </c>
      <c r="D960" t="inlineStr">
        <is>
          <t>captured</t>
        </is>
      </c>
      <c r="E960" t="inlineStr">
        <is>
          <t>order_93Y13MmIGaK521</t>
        </is>
      </c>
      <c r="G960" t="n">
        <v>0</v>
      </c>
      <c r="H960" t="inlineStr">
        <is>
          <t>upi</t>
        </is>
      </c>
      <c r="I960" t="n">
        <v>0</v>
      </c>
      <c r="J960" t="n">
        <v>0</v>
      </c>
      <c r="L960" t="n">
        <v>1</v>
      </c>
      <c r="R960" t="inlineStr">
        <is>
          <t>customer463@example.com</t>
        </is>
      </c>
      <c r="S960">
        <f>+919836614275</f>
        <v/>
      </c>
      <c r="T960" t="inlineStr">
        <is>
          <t>[]</t>
        </is>
      </c>
      <c r="U960" t="n">
        <v>35.98</v>
      </c>
      <c r="V960" t="n">
        <v>6.48</v>
      </c>
      <c r="Y960" s="1" t="n">
        <v>46165.38170138889</v>
      </c>
    </row>
    <row r="961">
      <c r="A961" t="inlineStr">
        <is>
          <t>pay_eza0Ll96P3Ptnq</t>
        </is>
      </c>
      <c r="B961" t="n">
        <v>1799</v>
      </c>
      <c r="C961" t="inlineStr">
        <is>
          <t>INR</t>
        </is>
      </c>
      <c r="D961" t="inlineStr">
        <is>
          <t>captured</t>
        </is>
      </c>
      <c r="E961" t="inlineStr">
        <is>
          <t>order_i75mW0TJ1rrvZ4</t>
        </is>
      </c>
      <c r="G961" t="n">
        <v>0</v>
      </c>
      <c r="H961" t="inlineStr">
        <is>
          <t>upi</t>
        </is>
      </c>
      <c r="I961" t="n">
        <v>0</v>
      </c>
      <c r="J961" t="n">
        <v>0</v>
      </c>
      <c r="L961" t="n">
        <v>1</v>
      </c>
      <c r="R961" t="inlineStr">
        <is>
          <t>customer258@example.com</t>
        </is>
      </c>
      <c r="S961">
        <f>+919861228833</f>
        <v/>
      </c>
      <c r="T961" t="inlineStr">
        <is>
          <t>[]</t>
        </is>
      </c>
      <c r="U961" t="n">
        <v>35.98</v>
      </c>
      <c r="V961" t="n">
        <v>6.48</v>
      </c>
      <c r="Y961" s="1" t="n">
        <v>46153.9966087963</v>
      </c>
    </row>
    <row r="962">
      <c r="A962" t="inlineStr">
        <is>
          <t>pay_QiJcIuzLY6envF</t>
        </is>
      </c>
      <c r="B962" t="n">
        <v>999</v>
      </c>
      <c r="C962" t="inlineStr">
        <is>
          <t>INR</t>
        </is>
      </c>
      <c r="D962" t="inlineStr">
        <is>
          <t>captured</t>
        </is>
      </c>
      <c r="E962" t="inlineStr">
        <is>
          <t>order_omOimWqOVWclya</t>
        </is>
      </c>
      <c r="G962" t="n">
        <v>0</v>
      </c>
      <c r="H962" t="inlineStr">
        <is>
          <t>upi</t>
        </is>
      </c>
      <c r="I962" t="n">
        <v>0</v>
      </c>
      <c r="J962" t="n">
        <v>0</v>
      </c>
      <c r="L962" t="n">
        <v>1</v>
      </c>
      <c r="R962" t="inlineStr">
        <is>
          <t>customer428@example.com</t>
        </is>
      </c>
      <c r="S962">
        <f>+919870080518</f>
        <v/>
      </c>
      <c r="T962" t="inlineStr">
        <is>
          <t>[]</t>
        </is>
      </c>
      <c r="U962" t="n">
        <v>19.98</v>
      </c>
      <c r="V962" t="n">
        <v>3.6</v>
      </c>
      <c r="Y962" s="1" t="n">
        <v>46148.98295138889</v>
      </c>
    </row>
    <row r="963">
      <c r="A963" t="inlineStr">
        <is>
          <t>pay_kCRAmLthkZ3NEJ</t>
        </is>
      </c>
      <c r="B963" t="n">
        <v>1799</v>
      </c>
      <c r="C963" t="inlineStr">
        <is>
          <t>INR</t>
        </is>
      </c>
      <c r="D963" t="inlineStr">
        <is>
          <t>captured</t>
        </is>
      </c>
      <c r="E963" t="inlineStr">
        <is>
          <t>order_5k2CKz50xxQ8Ld</t>
        </is>
      </c>
      <c r="G963" t="n">
        <v>0</v>
      </c>
      <c r="H963" t="inlineStr">
        <is>
          <t>upi</t>
        </is>
      </c>
      <c r="I963" t="n">
        <v>0</v>
      </c>
      <c r="J963" t="n">
        <v>0</v>
      </c>
      <c r="L963" t="n">
        <v>1</v>
      </c>
      <c r="R963" t="inlineStr">
        <is>
          <t>customer459@example.com</t>
        </is>
      </c>
      <c r="S963">
        <f>+919876209906</f>
        <v/>
      </c>
      <c r="T963" t="inlineStr">
        <is>
          <t>[]</t>
        </is>
      </c>
      <c r="U963" t="n">
        <v>35.98</v>
      </c>
      <c r="V963" t="n">
        <v>6.48</v>
      </c>
      <c r="Y963" s="1" t="n">
        <v>46149.02070601852</v>
      </c>
    </row>
    <row r="964">
      <c r="A964" t="inlineStr">
        <is>
          <t>pay_PLxOj6vVuWxP4V</t>
        </is>
      </c>
      <c r="B964" t="n">
        <v>1499</v>
      </c>
      <c r="C964" t="inlineStr">
        <is>
          <t>INR</t>
        </is>
      </c>
      <c r="D964" t="inlineStr">
        <is>
          <t>captured</t>
        </is>
      </c>
      <c r="E964" t="inlineStr">
        <is>
          <t>order_dwlXg2OZjsNpRZ</t>
        </is>
      </c>
      <c r="G964" t="n">
        <v>0</v>
      </c>
      <c r="H964" t="inlineStr">
        <is>
          <t>upi</t>
        </is>
      </c>
      <c r="I964" t="n">
        <v>0</v>
      </c>
      <c r="J964" t="n">
        <v>0</v>
      </c>
      <c r="L964" t="n">
        <v>1</v>
      </c>
      <c r="R964" t="inlineStr">
        <is>
          <t>customer529@example.com</t>
        </is>
      </c>
      <c r="S964">
        <f>+919825216250</f>
        <v/>
      </c>
      <c r="T964" t="inlineStr">
        <is>
          <t>[]</t>
        </is>
      </c>
      <c r="U964" t="n">
        <v>29.98</v>
      </c>
      <c r="V964" t="n">
        <v>5.4</v>
      </c>
      <c r="Y964" s="1" t="n">
        <v>46157.22184027778</v>
      </c>
    </row>
    <row r="965">
      <c r="A965" t="inlineStr">
        <is>
          <t>pay_rqUVJFgDgAwAJJ</t>
        </is>
      </c>
      <c r="B965" t="n">
        <v>1499</v>
      </c>
      <c r="C965" t="inlineStr">
        <is>
          <t>INR</t>
        </is>
      </c>
      <c r="D965" t="inlineStr">
        <is>
          <t>failed</t>
        </is>
      </c>
      <c r="E965" t="inlineStr">
        <is>
          <t>order_lBBIYSlWATUz9T</t>
        </is>
      </c>
      <c r="G965" t="n">
        <v>0</v>
      </c>
      <c r="H965" t="inlineStr">
        <is>
          <t>upi</t>
        </is>
      </c>
      <c r="I965" t="n">
        <v>0</v>
      </c>
      <c r="J965" t="n">
        <v>0</v>
      </c>
      <c r="L965" t="n">
        <v>0</v>
      </c>
      <c r="R965" t="inlineStr">
        <is>
          <t>customer466@example.com</t>
        </is>
      </c>
      <c r="S965">
        <f>+919831843165</f>
        <v/>
      </c>
      <c r="T965" t="inlineStr">
        <is>
          <t>[]</t>
        </is>
      </c>
      <c r="W965" t="inlineStr">
        <is>
          <t>BAD_REQUEST_ERROR</t>
        </is>
      </c>
      <c r="X965" t="inlineStr">
        <is>
          <t>UPI app declined the request</t>
        </is>
      </c>
      <c r="Y965" s="1" t="n">
        <v>46156.42396990741</v>
      </c>
    </row>
    <row r="966">
      <c r="A966" t="inlineStr">
        <is>
          <t>pay_cg8aPoxw4HHDCc</t>
        </is>
      </c>
      <c r="B966" t="n">
        <v>1799</v>
      </c>
      <c r="C966" t="inlineStr">
        <is>
          <t>INR</t>
        </is>
      </c>
      <c r="D966" t="inlineStr">
        <is>
          <t>captured</t>
        </is>
      </c>
      <c r="E966" t="inlineStr">
        <is>
          <t>order_1p9TwTBU756VzW</t>
        </is>
      </c>
      <c r="G966" t="n">
        <v>0</v>
      </c>
      <c r="H966" t="inlineStr">
        <is>
          <t>upi</t>
        </is>
      </c>
      <c r="I966" t="n">
        <v>0</v>
      </c>
      <c r="J966" t="n">
        <v>0</v>
      </c>
      <c r="L966" t="n">
        <v>1</v>
      </c>
      <c r="R966" t="inlineStr">
        <is>
          <t>customer661@example.com</t>
        </is>
      </c>
      <c r="S966">
        <f>+919870218463</f>
        <v/>
      </c>
      <c r="T966" t="inlineStr">
        <is>
          <t>[]</t>
        </is>
      </c>
      <c r="U966" t="n">
        <v>35.98</v>
      </c>
      <c r="V966" t="n">
        <v>6.48</v>
      </c>
      <c r="Y966" s="1" t="n">
        <v>46149.12133101852</v>
      </c>
    </row>
    <row r="967">
      <c r="A967" t="inlineStr">
        <is>
          <t>pay_D98FI92utd7ArQ</t>
        </is>
      </c>
      <c r="B967" t="n">
        <v>999</v>
      </c>
      <c r="C967" t="inlineStr">
        <is>
          <t>INR</t>
        </is>
      </c>
      <c r="D967" t="inlineStr">
        <is>
          <t>captured</t>
        </is>
      </c>
      <c r="E967" t="inlineStr">
        <is>
          <t>order_MJsOhSwqtg1mGr</t>
        </is>
      </c>
      <c r="G967" t="n">
        <v>0</v>
      </c>
      <c r="H967" t="inlineStr">
        <is>
          <t>upi</t>
        </is>
      </c>
      <c r="I967" t="n">
        <v>0</v>
      </c>
      <c r="J967" t="n">
        <v>0</v>
      </c>
      <c r="L967" t="n">
        <v>1</v>
      </c>
      <c r="R967" t="inlineStr">
        <is>
          <t>customer232@example.com</t>
        </is>
      </c>
      <c r="S967">
        <f>+919825581004</f>
        <v/>
      </c>
      <c r="T967" t="inlineStr">
        <is>
          <t>[]</t>
        </is>
      </c>
      <c r="U967" t="n">
        <v>19.98</v>
      </c>
      <c r="V967" t="n">
        <v>3.6</v>
      </c>
      <c r="Y967" s="1" t="n">
        <v>46155.62743055556</v>
      </c>
    </row>
    <row r="968">
      <c r="A968" t="inlineStr">
        <is>
          <t>pay_ObRfUfcunWnuT3</t>
        </is>
      </c>
      <c r="B968" t="n">
        <v>999</v>
      </c>
      <c r="C968" t="inlineStr">
        <is>
          <t>INR</t>
        </is>
      </c>
      <c r="D968" t="inlineStr">
        <is>
          <t>captured</t>
        </is>
      </c>
      <c r="E968" t="inlineStr">
        <is>
          <t>order_5f0JwWENjZiWKm</t>
        </is>
      </c>
      <c r="G968" t="n">
        <v>0</v>
      </c>
      <c r="H968" t="inlineStr">
        <is>
          <t>netbanking</t>
        </is>
      </c>
      <c r="I968" t="n">
        <v>0</v>
      </c>
      <c r="J968" t="n">
        <v>0</v>
      </c>
      <c r="L968" t="n">
        <v>1</v>
      </c>
      <c r="R968" t="inlineStr">
        <is>
          <t>customer530@example.com</t>
        </is>
      </c>
      <c r="S968">
        <f>+919858859773</f>
        <v/>
      </c>
      <c r="T968" t="inlineStr">
        <is>
          <t>[]</t>
        </is>
      </c>
      <c r="U968" t="n">
        <v>19.98</v>
      </c>
      <c r="V968" t="n">
        <v>3.6</v>
      </c>
      <c r="Y968" s="1" t="n">
        <v>46147.12509259259</v>
      </c>
    </row>
    <row r="969">
      <c r="A969" t="inlineStr">
        <is>
          <t>pay_3fI95pW6H9wUf5</t>
        </is>
      </c>
      <c r="B969" t="n">
        <v>1799</v>
      </c>
      <c r="C969" t="inlineStr">
        <is>
          <t>INR</t>
        </is>
      </c>
      <c r="D969" t="inlineStr">
        <is>
          <t>captured</t>
        </is>
      </c>
      <c r="E969" t="inlineStr">
        <is>
          <t>order_rkUYo68VgsMcMV</t>
        </is>
      </c>
      <c r="G969" t="n">
        <v>0</v>
      </c>
      <c r="H969" t="inlineStr">
        <is>
          <t>upi</t>
        </is>
      </c>
      <c r="I969" t="n">
        <v>0</v>
      </c>
      <c r="J969" t="n">
        <v>0</v>
      </c>
      <c r="L969" t="n">
        <v>1</v>
      </c>
      <c r="R969" t="inlineStr">
        <is>
          <t>customer343@example.com</t>
        </is>
      </c>
      <c r="S969">
        <f>+919880454791</f>
        <v/>
      </c>
      <c r="T969" t="inlineStr">
        <is>
          <t>[]</t>
        </is>
      </c>
      <c r="U969" t="n">
        <v>35.98</v>
      </c>
      <c r="V969" t="n">
        <v>6.48</v>
      </c>
      <c r="Y969" s="1" t="n">
        <v>46152.58993055556</v>
      </c>
    </row>
    <row r="970">
      <c r="A970" t="inlineStr">
        <is>
          <t>pay_t97YVTIYwu9zeQ</t>
        </is>
      </c>
      <c r="B970" t="n">
        <v>1499</v>
      </c>
      <c r="C970" t="inlineStr">
        <is>
          <t>INR</t>
        </is>
      </c>
      <c r="D970" t="inlineStr">
        <is>
          <t>failed</t>
        </is>
      </c>
      <c r="E970" t="inlineStr">
        <is>
          <t>order_12jdgoqF9ImMdd</t>
        </is>
      </c>
      <c r="G970" t="n">
        <v>0</v>
      </c>
      <c r="H970" t="inlineStr">
        <is>
          <t>upi</t>
        </is>
      </c>
      <c r="I970" t="n">
        <v>0</v>
      </c>
      <c r="J970" t="n">
        <v>0</v>
      </c>
      <c r="L970" t="n">
        <v>0</v>
      </c>
      <c r="R970" t="inlineStr">
        <is>
          <t>customer421@example.com</t>
        </is>
      </c>
      <c r="S970">
        <f>+919868054597</f>
        <v/>
      </c>
      <c r="T970" t="inlineStr">
        <is>
          <t>[]</t>
        </is>
      </c>
      <c r="W970" t="inlineStr">
        <is>
          <t>BAD_REQUEST_ERROR</t>
        </is>
      </c>
      <c r="X970" t="inlineStr">
        <is>
          <t>Payment was not completed on time</t>
        </is>
      </c>
      <c r="Y970" s="1" t="n">
        <v>46161.45186342593</v>
      </c>
    </row>
    <row r="971">
      <c r="A971" t="inlineStr">
        <is>
          <t>pay_zny1yq3HXc3raz</t>
        </is>
      </c>
      <c r="B971" t="n">
        <v>1499</v>
      </c>
      <c r="C971" t="inlineStr">
        <is>
          <t>INR</t>
        </is>
      </c>
      <c r="D971" t="inlineStr">
        <is>
          <t>captured</t>
        </is>
      </c>
      <c r="E971" t="inlineStr">
        <is>
          <t>order_12jdgoqF9ImMdd</t>
        </is>
      </c>
      <c r="G971" t="n">
        <v>0</v>
      </c>
      <c r="H971" t="inlineStr">
        <is>
          <t>upi</t>
        </is>
      </c>
      <c r="I971" t="n">
        <v>0</v>
      </c>
      <c r="J971" t="n">
        <v>0</v>
      </c>
      <c r="L971" t="n">
        <v>1</v>
      </c>
      <c r="R971" t="inlineStr">
        <is>
          <t>customer58@example.com</t>
        </is>
      </c>
      <c r="S971">
        <f>+919855118882</f>
        <v/>
      </c>
      <c r="T971" t="inlineStr">
        <is>
          <t>[]</t>
        </is>
      </c>
      <c r="U971" t="n">
        <v>29.98</v>
      </c>
      <c r="V971" t="n">
        <v>5.4</v>
      </c>
      <c r="Y971" s="1" t="n">
        <v>46161.45283564815</v>
      </c>
    </row>
    <row r="972">
      <c r="A972" t="inlineStr">
        <is>
          <t>pay_4aldvmrrJLLywT</t>
        </is>
      </c>
      <c r="B972" t="n">
        <v>2499</v>
      </c>
      <c r="C972" t="inlineStr">
        <is>
          <t>INR</t>
        </is>
      </c>
      <c r="D972" t="inlineStr">
        <is>
          <t>failed</t>
        </is>
      </c>
      <c r="E972" t="inlineStr">
        <is>
          <t>order_UB23vXn5FYF5Nu</t>
        </is>
      </c>
      <c r="G972" t="n">
        <v>0</v>
      </c>
      <c r="H972" t="inlineStr">
        <is>
          <t>upi</t>
        </is>
      </c>
      <c r="I972" t="n">
        <v>0</v>
      </c>
      <c r="J972" t="n">
        <v>0</v>
      </c>
      <c r="L972" t="n">
        <v>0</v>
      </c>
      <c r="R972" t="inlineStr">
        <is>
          <t>customer357@example.com</t>
        </is>
      </c>
      <c r="S972">
        <f>+919869790264</f>
        <v/>
      </c>
      <c r="T972" t="inlineStr">
        <is>
          <t>[]</t>
        </is>
      </c>
      <c r="W972" t="inlineStr">
        <is>
          <t>BAD_REQUEST_ERROR</t>
        </is>
      </c>
      <c r="X972" t="inlineStr">
        <is>
          <t>Payment was not completed on time</t>
        </is>
      </c>
      <c r="Y972" s="1" t="n">
        <v>46169.01233796297</v>
      </c>
    </row>
    <row r="973">
      <c r="A973" t="inlineStr">
        <is>
          <t>pay_YEOeVQvNN0LRRx</t>
        </is>
      </c>
      <c r="B973" t="n">
        <v>999</v>
      </c>
      <c r="C973" t="inlineStr">
        <is>
          <t>INR</t>
        </is>
      </c>
      <c r="D973" t="inlineStr">
        <is>
          <t>captured</t>
        </is>
      </c>
      <c r="E973" t="inlineStr">
        <is>
          <t>order_sldFL1a2NcskfV</t>
        </is>
      </c>
      <c r="G973" t="n">
        <v>0</v>
      </c>
      <c r="H973" t="inlineStr">
        <is>
          <t>upi</t>
        </is>
      </c>
      <c r="I973" t="n">
        <v>0</v>
      </c>
      <c r="J973" t="n">
        <v>0</v>
      </c>
      <c r="L973" t="n">
        <v>1</v>
      </c>
      <c r="R973" t="inlineStr">
        <is>
          <t>customer606@example.com</t>
        </is>
      </c>
      <c r="S973">
        <f>+919874665622</f>
        <v/>
      </c>
      <c r="T973" t="inlineStr">
        <is>
          <t>[]</t>
        </is>
      </c>
      <c r="U973" t="n">
        <v>19.98</v>
      </c>
      <c r="V973" t="n">
        <v>3.6</v>
      </c>
      <c r="Y973" s="1" t="n">
        <v>46167.08523148148</v>
      </c>
    </row>
    <row r="974">
      <c r="A974" t="inlineStr">
        <is>
          <t>pay_1aggbahgR2eBtu</t>
        </is>
      </c>
      <c r="B974" t="n">
        <v>1799</v>
      </c>
      <c r="C974" t="inlineStr">
        <is>
          <t>INR</t>
        </is>
      </c>
      <c r="D974" t="inlineStr">
        <is>
          <t>captured</t>
        </is>
      </c>
      <c r="E974" t="inlineStr">
        <is>
          <t>order_74StHhEIKwxkph</t>
        </is>
      </c>
      <c r="G974" t="n">
        <v>0</v>
      </c>
      <c r="H974" t="inlineStr">
        <is>
          <t>upi</t>
        </is>
      </c>
      <c r="I974" t="n">
        <v>0</v>
      </c>
      <c r="J974" t="n">
        <v>0</v>
      </c>
      <c r="L974" t="n">
        <v>1</v>
      </c>
      <c r="R974" t="inlineStr">
        <is>
          <t>customer155@example.com</t>
        </is>
      </c>
      <c r="S974">
        <f>+919871170495</f>
        <v/>
      </c>
      <c r="T974" t="inlineStr">
        <is>
          <t>[]</t>
        </is>
      </c>
      <c r="U974" t="n">
        <v>35.98</v>
      </c>
      <c r="V974" t="n">
        <v>6.48</v>
      </c>
      <c r="Y974" s="1" t="n">
        <v>46159.29255787037</v>
      </c>
    </row>
    <row r="975">
      <c r="A975" t="inlineStr">
        <is>
          <t>pay_vupXPyR4H6DKC5</t>
        </is>
      </c>
      <c r="B975" t="n">
        <v>2499</v>
      </c>
      <c r="C975" t="inlineStr">
        <is>
          <t>INR</t>
        </is>
      </c>
      <c r="D975" t="inlineStr">
        <is>
          <t>captured</t>
        </is>
      </c>
      <c r="E975" t="inlineStr">
        <is>
          <t>order_b0Ck4BImNaZfhs</t>
        </is>
      </c>
      <c r="G975" t="n">
        <v>0</v>
      </c>
      <c r="H975" t="inlineStr">
        <is>
          <t>upi</t>
        </is>
      </c>
      <c r="I975" t="n">
        <v>0</v>
      </c>
      <c r="J975" t="n">
        <v>0</v>
      </c>
      <c r="L975" t="n">
        <v>1</v>
      </c>
      <c r="R975" t="inlineStr">
        <is>
          <t>customer525@example.com</t>
        </is>
      </c>
      <c r="S975">
        <f>+919880736402</f>
        <v/>
      </c>
      <c r="T975" t="inlineStr">
        <is>
          <t>[]</t>
        </is>
      </c>
      <c r="U975" t="n">
        <v>49.98</v>
      </c>
      <c r="V975" t="n">
        <v>9</v>
      </c>
      <c r="Y975" s="1" t="n">
        <v>46165.62418981481</v>
      </c>
    </row>
    <row r="976">
      <c r="A976" t="inlineStr">
        <is>
          <t>pay_CJbYU77P0uWCv6</t>
        </is>
      </c>
      <c r="B976" t="n">
        <v>3999</v>
      </c>
      <c r="C976" t="inlineStr">
        <is>
          <t>INR</t>
        </is>
      </c>
      <c r="D976" t="inlineStr">
        <is>
          <t>captured</t>
        </is>
      </c>
      <c r="E976" t="inlineStr">
        <is>
          <t>order_z0S4gTmgKGckb1</t>
        </is>
      </c>
      <c r="G976" t="n">
        <v>0</v>
      </c>
      <c r="H976" t="inlineStr">
        <is>
          <t>upi</t>
        </is>
      </c>
      <c r="I976" t="n">
        <v>0</v>
      </c>
      <c r="J976" t="n">
        <v>0</v>
      </c>
      <c r="L976" t="n">
        <v>1</v>
      </c>
      <c r="R976" t="inlineStr">
        <is>
          <t>customer392@example.com</t>
        </is>
      </c>
      <c r="S976">
        <f>+919849985738</f>
        <v/>
      </c>
      <c r="T976" t="inlineStr">
        <is>
          <t>[]</t>
        </is>
      </c>
      <c r="U976" t="n">
        <v>79.98</v>
      </c>
      <c r="V976" t="n">
        <v>14.4</v>
      </c>
      <c r="Y976" s="1" t="n">
        <v>46147.12922453704</v>
      </c>
    </row>
    <row r="977">
      <c r="A977" t="inlineStr">
        <is>
          <t>pay_vkLKv7IWtaT4G1</t>
        </is>
      </c>
      <c r="B977" t="n">
        <v>499</v>
      </c>
      <c r="C977" t="inlineStr">
        <is>
          <t>INR</t>
        </is>
      </c>
      <c r="D977" t="inlineStr">
        <is>
          <t>failed</t>
        </is>
      </c>
      <c r="E977" t="inlineStr">
        <is>
          <t>order_Lq07V1iVd95KGN</t>
        </is>
      </c>
      <c r="G977" t="n">
        <v>0</v>
      </c>
      <c r="H977" t="inlineStr">
        <is>
          <t>card</t>
        </is>
      </c>
      <c r="I977" t="n">
        <v>0</v>
      </c>
      <c r="J977" t="n">
        <v>0</v>
      </c>
      <c r="L977" t="n">
        <v>0</v>
      </c>
      <c r="R977" t="inlineStr">
        <is>
          <t>customer113@example.com</t>
        </is>
      </c>
      <c r="S977">
        <f>+919832187156</f>
        <v/>
      </c>
      <c r="T977" t="inlineStr">
        <is>
          <t>[]</t>
        </is>
      </c>
      <c r="W977" t="inlineStr">
        <is>
          <t>BAD_REQUEST_ERROR</t>
        </is>
      </c>
      <c r="X977" t="inlineStr">
        <is>
          <t>Card declined by bank</t>
        </is>
      </c>
      <c r="Y977" s="1" t="n">
        <v>46149.30232638889</v>
      </c>
    </row>
    <row r="978">
      <c r="A978" t="inlineStr">
        <is>
          <t>pay_XYx94xqORFm3DR</t>
        </is>
      </c>
      <c r="B978" t="n">
        <v>999</v>
      </c>
      <c r="C978" t="inlineStr">
        <is>
          <t>INR</t>
        </is>
      </c>
      <c r="D978" t="inlineStr">
        <is>
          <t>captured</t>
        </is>
      </c>
      <c r="E978" t="inlineStr">
        <is>
          <t>order_9uuK7LlY0VI8Fv</t>
        </is>
      </c>
      <c r="G978" t="n">
        <v>0</v>
      </c>
      <c r="H978" t="inlineStr">
        <is>
          <t>upi</t>
        </is>
      </c>
      <c r="I978" t="n">
        <v>0</v>
      </c>
      <c r="J978" t="n">
        <v>0</v>
      </c>
      <c r="L978" t="n">
        <v>1</v>
      </c>
      <c r="R978" t="inlineStr">
        <is>
          <t>customer283@example.com</t>
        </is>
      </c>
      <c r="S978">
        <f>+919886512601</f>
        <v/>
      </c>
      <c r="T978" t="inlineStr">
        <is>
          <t>[]</t>
        </is>
      </c>
      <c r="U978" t="n">
        <v>19.98</v>
      </c>
      <c r="V978" t="n">
        <v>3.6</v>
      </c>
      <c r="Y978" s="1" t="n">
        <v>46173.43190972223</v>
      </c>
    </row>
    <row r="979">
      <c r="A979" t="inlineStr">
        <is>
          <t>pay_7OAvqeidMtYaNd</t>
        </is>
      </c>
      <c r="B979" t="n">
        <v>3999</v>
      </c>
      <c r="C979" t="inlineStr">
        <is>
          <t>INR</t>
        </is>
      </c>
      <c r="D979" t="inlineStr">
        <is>
          <t>captured</t>
        </is>
      </c>
      <c r="E979" t="inlineStr">
        <is>
          <t>order_FGySjRXd8gpH7u</t>
        </is>
      </c>
      <c r="G979" t="n">
        <v>0</v>
      </c>
      <c r="H979" t="inlineStr">
        <is>
          <t>upi</t>
        </is>
      </c>
      <c r="I979" t="n">
        <v>0</v>
      </c>
      <c r="J979" t="n">
        <v>0</v>
      </c>
      <c r="L979" t="n">
        <v>1</v>
      </c>
      <c r="R979" t="inlineStr">
        <is>
          <t>customer256@example.com</t>
        </is>
      </c>
      <c r="S979">
        <f>+919895069660</f>
        <v/>
      </c>
      <c r="T979" t="inlineStr">
        <is>
          <t>[]</t>
        </is>
      </c>
      <c r="U979" t="n">
        <v>79.98</v>
      </c>
      <c r="V979" t="n">
        <v>14.4</v>
      </c>
      <c r="Y979" s="1" t="n">
        <v>46167.6249537037</v>
      </c>
    </row>
    <row r="980">
      <c r="A980" t="inlineStr">
        <is>
          <t>pay_zfSgSiLbuYNEZj</t>
        </is>
      </c>
      <c r="B980" t="n">
        <v>1799</v>
      </c>
      <c r="C980" t="inlineStr">
        <is>
          <t>INR</t>
        </is>
      </c>
      <c r="D980" t="inlineStr">
        <is>
          <t>failed</t>
        </is>
      </c>
      <c r="E980" t="inlineStr">
        <is>
          <t>order_9GQNtaVId02bsf</t>
        </is>
      </c>
      <c r="G980" t="n">
        <v>0</v>
      </c>
      <c r="H980" t="inlineStr">
        <is>
          <t>card</t>
        </is>
      </c>
      <c r="I980" t="n">
        <v>0</v>
      </c>
      <c r="J980" t="n">
        <v>0</v>
      </c>
      <c r="L980" t="n">
        <v>0</v>
      </c>
      <c r="R980" t="inlineStr">
        <is>
          <t>customer305@example.com</t>
        </is>
      </c>
      <c r="S980">
        <f>+919862191594</f>
        <v/>
      </c>
      <c r="T980" t="inlineStr">
        <is>
          <t>[]</t>
        </is>
      </c>
      <c r="W980" t="inlineStr">
        <is>
          <t>BAD_REQUEST_ERROR</t>
        </is>
      </c>
      <c r="X980" t="inlineStr">
        <is>
          <t>Payment cancelled by user</t>
        </is>
      </c>
      <c r="Y980" s="1" t="n">
        <v>46149.45474537037</v>
      </c>
    </row>
    <row r="981">
      <c r="A981" t="inlineStr">
        <is>
          <t>pay_6TJwfsar4fDAwZ</t>
        </is>
      </c>
      <c r="B981" t="n">
        <v>1799</v>
      </c>
      <c r="C981" t="inlineStr">
        <is>
          <t>INR</t>
        </is>
      </c>
      <c r="D981" t="inlineStr">
        <is>
          <t>failed</t>
        </is>
      </c>
      <c r="E981" t="inlineStr">
        <is>
          <t>order_9GQNtaVId02bsf</t>
        </is>
      </c>
      <c r="G981" t="n">
        <v>0</v>
      </c>
      <c r="H981" t="inlineStr">
        <is>
          <t>card</t>
        </is>
      </c>
      <c r="I981" t="n">
        <v>0</v>
      </c>
      <c r="J981" t="n">
        <v>0</v>
      </c>
      <c r="L981" t="n">
        <v>0</v>
      </c>
      <c r="R981" t="inlineStr">
        <is>
          <t>customer478@example.com</t>
        </is>
      </c>
      <c r="S981">
        <f>+919875594752</f>
        <v/>
      </c>
      <c r="T981" t="inlineStr">
        <is>
          <t>[]</t>
        </is>
      </c>
      <c r="W981" t="inlineStr">
        <is>
          <t>BAD_REQUEST_ERROR</t>
        </is>
      </c>
      <c r="X981" t="inlineStr">
        <is>
          <t>Payment failed due to incorrect OTP</t>
        </is>
      </c>
      <c r="Y981" s="1" t="n">
        <v>46149.46040509259</v>
      </c>
    </row>
    <row r="982">
      <c r="A982" t="inlineStr">
        <is>
          <t>pay_LfeAlY8UXlKP15</t>
        </is>
      </c>
      <c r="B982" t="n">
        <v>999</v>
      </c>
      <c r="C982" t="inlineStr">
        <is>
          <t>INR</t>
        </is>
      </c>
      <c r="D982" t="inlineStr">
        <is>
          <t>captured</t>
        </is>
      </c>
      <c r="E982" t="inlineStr">
        <is>
          <t>order_dnKxhlCJt0mBcq</t>
        </is>
      </c>
      <c r="G982" t="n">
        <v>0</v>
      </c>
      <c r="H982" t="inlineStr">
        <is>
          <t>upi</t>
        </is>
      </c>
      <c r="I982" t="n">
        <v>0</v>
      </c>
      <c r="J982" t="n">
        <v>0</v>
      </c>
      <c r="L982" t="n">
        <v>1</v>
      </c>
      <c r="R982" t="inlineStr">
        <is>
          <t>customer820@example.com</t>
        </is>
      </c>
      <c r="S982">
        <f>+919877207324</f>
        <v/>
      </c>
      <c r="T982" t="inlineStr">
        <is>
          <t>[]</t>
        </is>
      </c>
      <c r="U982" t="n">
        <v>19.98</v>
      </c>
      <c r="V982" t="n">
        <v>3.6</v>
      </c>
      <c r="Y982" s="1" t="n">
        <v>46147.90980324074</v>
      </c>
    </row>
    <row r="983">
      <c r="A983" t="inlineStr">
        <is>
          <t>pay_NnlIzL1XeQ90MH</t>
        </is>
      </c>
      <c r="B983" t="n">
        <v>1499</v>
      </c>
      <c r="C983" t="inlineStr">
        <is>
          <t>INR</t>
        </is>
      </c>
      <c r="D983" t="inlineStr">
        <is>
          <t>captured</t>
        </is>
      </c>
      <c r="E983" t="inlineStr">
        <is>
          <t>order_52c7HDK6ZhPtOg</t>
        </is>
      </c>
      <c r="G983" t="n">
        <v>0</v>
      </c>
      <c r="H983" t="inlineStr">
        <is>
          <t>upi</t>
        </is>
      </c>
      <c r="I983" t="n">
        <v>0</v>
      </c>
      <c r="J983" t="n">
        <v>0</v>
      </c>
      <c r="L983" t="n">
        <v>1</v>
      </c>
      <c r="R983" t="inlineStr">
        <is>
          <t>customer321@example.com</t>
        </is>
      </c>
      <c r="S983">
        <f>+919861266703</f>
        <v/>
      </c>
      <c r="T983" t="inlineStr">
        <is>
          <t>[]</t>
        </is>
      </c>
      <c r="U983" t="n">
        <v>29.98</v>
      </c>
      <c r="V983" t="n">
        <v>5.4</v>
      </c>
      <c r="Y983" s="1" t="n">
        <v>46148.6303125</v>
      </c>
    </row>
    <row r="984">
      <c r="A984" t="inlineStr">
        <is>
          <t>pay_BjXYO5owvWraO1</t>
        </is>
      </c>
      <c r="B984" t="n">
        <v>1799</v>
      </c>
      <c r="C984" t="inlineStr">
        <is>
          <t>INR</t>
        </is>
      </c>
      <c r="D984" t="inlineStr">
        <is>
          <t>captured</t>
        </is>
      </c>
      <c r="E984" t="inlineStr">
        <is>
          <t>order_8zSAeQQPgzYn96</t>
        </is>
      </c>
      <c r="G984" t="n">
        <v>0</v>
      </c>
      <c r="H984" t="inlineStr">
        <is>
          <t>upi</t>
        </is>
      </c>
      <c r="I984" t="n">
        <v>0</v>
      </c>
      <c r="J984" t="n">
        <v>0</v>
      </c>
      <c r="L984" t="n">
        <v>1</v>
      </c>
      <c r="R984" t="inlineStr">
        <is>
          <t>customer513@example.com</t>
        </is>
      </c>
      <c r="S984">
        <f>+919855542337</f>
        <v/>
      </c>
      <c r="T984" t="inlineStr">
        <is>
          <t>[]</t>
        </is>
      </c>
      <c r="U984" t="n">
        <v>35.98</v>
      </c>
      <c r="V984" t="n">
        <v>6.48</v>
      </c>
      <c r="Y984" s="1" t="n">
        <v>46164.5666550926</v>
      </c>
    </row>
    <row r="985">
      <c r="A985" t="inlineStr">
        <is>
          <t>pay_Es8ZAjY087Mh7j</t>
        </is>
      </c>
      <c r="B985" t="n">
        <v>999</v>
      </c>
      <c r="C985" t="inlineStr">
        <is>
          <t>INR</t>
        </is>
      </c>
      <c r="D985" t="inlineStr">
        <is>
          <t>captured</t>
        </is>
      </c>
      <c r="E985" t="inlineStr">
        <is>
          <t>order_A2nqSXcI7oE6aW</t>
        </is>
      </c>
      <c r="G985" t="n">
        <v>0</v>
      </c>
      <c r="H985" t="inlineStr">
        <is>
          <t>card</t>
        </is>
      </c>
      <c r="I985" t="n">
        <v>0</v>
      </c>
      <c r="J985" t="n">
        <v>0</v>
      </c>
      <c r="L985" t="n">
        <v>1</v>
      </c>
      <c r="R985" t="inlineStr">
        <is>
          <t>customer348@example.com</t>
        </is>
      </c>
      <c r="S985">
        <f>+919833816391</f>
        <v/>
      </c>
      <c r="T985" t="inlineStr">
        <is>
          <t>[]</t>
        </is>
      </c>
      <c r="U985" t="n">
        <v>19.98</v>
      </c>
      <c r="V985" t="n">
        <v>3.6</v>
      </c>
      <c r="Y985" s="1" t="n">
        <v>46155.80113425926</v>
      </c>
    </row>
    <row r="986">
      <c r="A986" t="inlineStr">
        <is>
          <t>pay_C6C1GX2gcVSaMu</t>
        </is>
      </c>
      <c r="B986" t="n">
        <v>2499</v>
      </c>
      <c r="C986" t="inlineStr">
        <is>
          <t>INR</t>
        </is>
      </c>
      <c r="D986" t="inlineStr">
        <is>
          <t>captured</t>
        </is>
      </c>
      <c r="E986" t="inlineStr">
        <is>
          <t>order_vPtw7xKd7dF1Fb</t>
        </is>
      </c>
      <c r="G986" t="n">
        <v>0</v>
      </c>
      <c r="H986" t="inlineStr">
        <is>
          <t>card</t>
        </is>
      </c>
      <c r="I986" t="n">
        <v>0</v>
      </c>
      <c r="J986" t="n">
        <v>0</v>
      </c>
      <c r="L986" t="n">
        <v>1</v>
      </c>
      <c r="R986" t="inlineStr">
        <is>
          <t>customer407@example.com</t>
        </is>
      </c>
      <c r="S986">
        <f>+919861368545</f>
        <v/>
      </c>
      <c r="T986" t="inlineStr">
        <is>
          <t>[]</t>
        </is>
      </c>
      <c r="U986" t="n">
        <v>49.98</v>
      </c>
      <c r="V986" t="n">
        <v>9</v>
      </c>
      <c r="Y986" s="1" t="n">
        <v>46158.00832175926</v>
      </c>
    </row>
    <row r="987">
      <c r="A987" t="inlineStr">
        <is>
          <t>pay_2Jk9C6T3jGztww</t>
        </is>
      </c>
      <c r="B987" t="n">
        <v>499</v>
      </c>
      <c r="C987" t="inlineStr">
        <is>
          <t>INR</t>
        </is>
      </c>
      <c r="D987" t="inlineStr">
        <is>
          <t>failed</t>
        </is>
      </c>
      <c r="E987" t="inlineStr">
        <is>
          <t>order_D45ZKPB5QeRZNa</t>
        </is>
      </c>
      <c r="G987" t="n">
        <v>0</v>
      </c>
      <c r="H987" t="inlineStr">
        <is>
          <t>upi</t>
        </is>
      </c>
      <c r="I987" t="n">
        <v>0</v>
      </c>
      <c r="J987" t="n">
        <v>0</v>
      </c>
      <c r="L987" t="n">
        <v>0</v>
      </c>
      <c r="R987" t="inlineStr">
        <is>
          <t>customer196@example.com</t>
        </is>
      </c>
      <c r="S987">
        <f>+919883156811</f>
        <v/>
      </c>
      <c r="T987" t="inlineStr">
        <is>
          <t>[]</t>
        </is>
      </c>
      <c r="W987" t="inlineStr">
        <is>
          <t>BAD_REQUEST_ERROR</t>
        </is>
      </c>
      <c r="X987" t="inlineStr">
        <is>
          <t>Payment was not completed on time</t>
        </is>
      </c>
      <c r="Y987" s="1" t="n">
        <v>46166.00035879629</v>
      </c>
    </row>
    <row r="988">
      <c r="A988" t="inlineStr">
        <is>
          <t>pay_N1nNccYOEVZnmb</t>
        </is>
      </c>
      <c r="B988" t="n">
        <v>1799</v>
      </c>
      <c r="C988" t="inlineStr">
        <is>
          <t>INR</t>
        </is>
      </c>
      <c r="D988" t="inlineStr">
        <is>
          <t>captured</t>
        </is>
      </c>
      <c r="E988" t="inlineStr">
        <is>
          <t>order_Yl85LbCRlku0Tm</t>
        </is>
      </c>
      <c r="G988" t="n">
        <v>0</v>
      </c>
      <c r="H988" t="inlineStr">
        <is>
          <t>card</t>
        </is>
      </c>
      <c r="I988" t="n">
        <v>0</v>
      </c>
      <c r="J988" t="n">
        <v>0</v>
      </c>
      <c r="L988" t="n">
        <v>1</v>
      </c>
      <c r="R988" t="inlineStr">
        <is>
          <t>customer645@example.com</t>
        </is>
      </c>
      <c r="S988">
        <f>+919892704223</f>
        <v/>
      </c>
      <c r="T988" t="inlineStr">
        <is>
          <t>[]</t>
        </is>
      </c>
      <c r="U988" t="n">
        <v>35.98</v>
      </c>
      <c r="V988" t="n">
        <v>6.48</v>
      </c>
      <c r="Y988" s="1" t="n">
        <v>46157.23591435186</v>
      </c>
    </row>
    <row r="989">
      <c r="A989" t="inlineStr">
        <is>
          <t>pay_ZFV9ZnJkCxaSBR</t>
        </is>
      </c>
      <c r="B989" t="n">
        <v>3999</v>
      </c>
      <c r="C989" t="inlineStr">
        <is>
          <t>INR</t>
        </is>
      </c>
      <c r="D989" t="inlineStr">
        <is>
          <t>captured</t>
        </is>
      </c>
      <c r="E989" t="inlineStr">
        <is>
          <t>order_iBuJE9NgNOKSar</t>
        </is>
      </c>
      <c r="G989" t="n">
        <v>0</v>
      </c>
      <c r="H989" t="inlineStr">
        <is>
          <t>card</t>
        </is>
      </c>
      <c r="I989" t="n">
        <v>0</v>
      </c>
      <c r="J989" t="n">
        <v>0</v>
      </c>
      <c r="L989" t="n">
        <v>1</v>
      </c>
      <c r="R989" t="inlineStr">
        <is>
          <t>customer640@example.com</t>
        </is>
      </c>
      <c r="S989">
        <f>+919823515455</f>
        <v/>
      </c>
      <c r="T989" t="inlineStr">
        <is>
          <t>[]</t>
        </is>
      </c>
      <c r="U989" t="n">
        <v>79.98</v>
      </c>
      <c r="V989" t="n">
        <v>14.4</v>
      </c>
      <c r="Y989" s="1" t="n">
        <v>46149.21357638889</v>
      </c>
    </row>
    <row r="990">
      <c r="A990" t="inlineStr">
        <is>
          <t>pay_dgYP4AqC7JECxM</t>
        </is>
      </c>
      <c r="B990" t="n">
        <v>1499</v>
      </c>
      <c r="C990" t="inlineStr">
        <is>
          <t>INR</t>
        </is>
      </c>
      <c r="D990" t="inlineStr">
        <is>
          <t>captured</t>
        </is>
      </c>
      <c r="E990" t="inlineStr">
        <is>
          <t>order_uHRtM69TvLasQo</t>
        </is>
      </c>
      <c r="G990" t="n">
        <v>0</v>
      </c>
      <c r="H990" t="inlineStr">
        <is>
          <t>card</t>
        </is>
      </c>
      <c r="I990" t="n">
        <v>0</v>
      </c>
      <c r="J990" t="n">
        <v>0</v>
      </c>
      <c r="L990" t="n">
        <v>1</v>
      </c>
      <c r="R990" t="inlineStr">
        <is>
          <t>customer188@example.com</t>
        </is>
      </c>
      <c r="S990">
        <f>+919891434249</f>
        <v/>
      </c>
      <c r="T990" t="inlineStr">
        <is>
          <t>[]</t>
        </is>
      </c>
      <c r="U990" t="n">
        <v>29.98</v>
      </c>
      <c r="V990" t="n">
        <v>5.4</v>
      </c>
      <c r="Y990" s="1" t="n">
        <v>46165.91196759259</v>
      </c>
    </row>
    <row r="991">
      <c r="A991" t="inlineStr">
        <is>
          <t>pay_A8WE4NyMzLQMK9</t>
        </is>
      </c>
      <c r="B991" t="n">
        <v>499</v>
      </c>
      <c r="C991" t="inlineStr">
        <is>
          <t>INR</t>
        </is>
      </c>
      <c r="D991" t="inlineStr">
        <is>
          <t>captured</t>
        </is>
      </c>
      <c r="E991" t="inlineStr">
        <is>
          <t>order_YuAZte76mqf6vr</t>
        </is>
      </c>
      <c r="G991" t="n">
        <v>0</v>
      </c>
      <c r="H991" t="inlineStr">
        <is>
          <t>netbanking</t>
        </is>
      </c>
      <c r="I991" t="n">
        <v>0</v>
      </c>
      <c r="J991" t="n">
        <v>0</v>
      </c>
      <c r="L991" t="n">
        <v>1</v>
      </c>
      <c r="R991" t="inlineStr">
        <is>
          <t>customer864@example.com</t>
        </is>
      </c>
      <c r="S991">
        <f>+919888298578</f>
        <v/>
      </c>
      <c r="T991" t="inlineStr">
        <is>
          <t>[]</t>
        </is>
      </c>
      <c r="U991" t="n">
        <v>9.98</v>
      </c>
      <c r="V991" t="n">
        <v>1.8</v>
      </c>
      <c r="Y991" s="1" t="n">
        <v>46158.98900462963</v>
      </c>
    </row>
    <row r="992">
      <c r="A992" t="inlineStr">
        <is>
          <t>pay_5FUBYf54yEvU7F</t>
        </is>
      </c>
      <c r="B992" t="n">
        <v>2499</v>
      </c>
      <c r="C992" t="inlineStr">
        <is>
          <t>INR</t>
        </is>
      </c>
      <c r="D992" t="inlineStr">
        <is>
          <t>captured</t>
        </is>
      </c>
      <c r="E992" t="inlineStr">
        <is>
          <t>order_E0jI6VKXbubbQ0</t>
        </is>
      </c>
      <c r="G992" t="n">
        <v>0</v>
      </c>
      <c r="H992" t="inlineStr">
        <is>
          <t>netbanking</t>
        </is>
      </c>
      <c r="I992" t="n">
        <v>0</v>
      </c>
      <c r="J992" t="n">
        <v>0</v>
      </c>
      <c r="L992" t="n">
        <v>1</v>
      </c>
      <c r="R992" t="inlineStr">
        <is>
          <t>customer826@example.com</t>
        </is>
      </c>
      <c r="S992">
        <f>+919878089707</f>
        <v/>
      </c>
      <c r="T992" t="inlineStr">
        <is>
          <t>[]</t>
        </is>
      </c>
      <c r="U992" t="n">
        <v>49.98</v>
      </c>
      <c r="V992" t="n">
        <v>9</v>
      </c>
      <c r="Y992" s="1" t="n">
        <v>46147.14712962963</v>
      </c>
    </row>
    <row r="993">
      <c r="A993" t="inlineStr">
        <is>
          <t>pay_1hk2PUDrmTPonw</t>
        </is>
      </c>
      <c r="B993" t="n">
        <v>1499</v>
      </c>
      <c r="C993" t="inlineStr">
        <is>
          <t>INR</t>
        </is>
      </c>
      <c r="D993" t="inlineStr">
        <is>
          <t>failed</t>
        </is>
      </c>
      <c r="E993" t="inlineStr">
        <is>
          <t>order_lSnJPopDQnVAjT</t>
        </is>
      </c>
      <c r="G993" t="n">
        <v>0</v>
      </c>
      <c r="H993" t="inlineStr">
        <is>
          <t>upi</t>
        </is>
      </c>
      <c r="I993" t="n">
        <v>0</v>
      </c>
      <c r="J993" t="n">
        <v>0</v>
      </c>
      <c r="L993" t="n">
        <v>0</v>
      </c>
      <c r="R993" t="inlineStr">
        <is>
          <t>customer429@example.com</t>
        </is>
      </c>
      <c r="S993">
        <f>+919841447191</f>
        <v/>
      </c>
      <c r="T993" t="inlineStr">
        <is>
          <t>[]</t>
        </is>
      </c>
      <c r="W993" t="inlineStr">
        <is>
          <t>BAD_REQUEST_ERROR</t>
        </is>
      </c>
      <c r="X993" t="inlineStr">
        <is>
          <t>UPI app declined the request</t>
        </is>
      </c>
      <c r="Y993" s="1" t="n">
        <v>46151.27226851852</v>
      </c>
    </row>
    <row r="994">
      <c r="A994" t="inlineStr">
        <is>
          <t>pay_nLebZP90Su7244</t>
        </is>
      </c>
      <c r="B994" t="n">
        <v>3999</v>
      </c>
      <c r="C994" t="inlineStr">
        <is>
          <t>INR</t>
        </is>
      </c>
      <c r="D994" t="inlineStr">
        <is>
          <t>failed</t>
        </is>
      </c>
      <c r="E994" t="inlineStr">
        <is>
          <t>order_WRjNADPSECNuqQ</t>
        </is>
      </c>
      <c r="G994" t="n">
        <v>0</v>
      </c>
      <c r="H994" t="inlineStr">
        <is>
          <t>card</t>
        </is>
      </c>
      <c r="I994" t="n">
        <v>0</v>
      </c>
      <c r="J994" t="n">
        <v>0</v>
      </c>
      <c r="L994" t="n">
        <v>0</v>
      </c>
      <c r="R994" t="inlineStr">
        <is>
          <t>customer727@example.com</t>
        </is>
      </c>
      <c r="S994">
        <f>+919826828676</f>
        <v/>
      </c>
      <c r="T994" t="inlineStr">
        <is>
          <t>[]</t>
        </is>
      </c>
      <c r="W994" t="inlineStr">
        <is>
          <t>BAD_REQUEST_ERROR</t>
        </is>
      </c>
      <c r="X994" t="inlineStr">
        <is>
          <t>Payment cancelled by user</t>
        </is>
      </c>
      <c r="Y994" s="1" t="n">
        <v>46147.15445601852</v>
      </c>
    </row>
    <row r="995">
      <c r="A995" t="inlineStr">
        <is>
          <t>pay_DgEggoGIDgELJd</t>
        </is>
      </c>
      <c r="B995" t="n">
        <v>2499</v>
      </c>
      <c r="C995" t="inlineStr">
        <is>
          <t>INR</t>
        </is>
      </c>
      <c r="D995" t="inlineStr">
        <is>
          <t>failed</t>
        </is>
      </c>
      <c r="E995" t="inlineStr">
        <is>
          <t>order_8ZgjPOGTN36LMV</t>
        </is>
      </c>
      <c r="G995" t="n">
        <v>0</v>
      </c>
      <c r="H995" t="inlineStr">
        <is>
          <t>upi</t>
        </is>
      </c>
      <c r="I995" t="n">
        <v>0</v>
      </c>
      <c r="J995" t="n">
        <v>0</v>
      </c>
      <c r="L995" t="n">
        <v>0</v>
      </c>
      <c r="R995" t="inlineStr">
        <is>
          <t>customer629@example.com</t>
        </is>
      </c>
      <c r="S995">
        <f>+919812053209</f>
        <v/>
      </c>
      <c r="T995" t="inlineStr">
        <is>
          <t>[]</t>
        </is>
      </c>
      <c r="W995" t="inlineStr">
        <is>
          <t>BAD_REQUEST_ERROR</t>
        </is>
      </c>
      <c r="X995" t="inlineStr">
        <is>
          <t>UPI app declined the request</t>
        </is>
      </c>
      <c r="Y995" s="1" t="n">
        <v>46172.12130787037</v>
      </c>
    </row>
    <row r="996">
      <c r="A996" t="inlineStr">
        <is>
          <t>pay_DoGonOKl0xptuT</t>
        </is>
      </c>
      <c r="B996" t="n">
        <v>1499</v>
      </c>
      <c r="C996" t="inlineStr">
        <is>
          <t>INR</t>
        </is>
      </c>
      <c r="D996" t="inlineStr">
        <is>
          <t>captured</t>
        </is>
      </c>
      <c r="E996" t="inlineStr">
        <is>
          <t>order_0VawNekiLA551F</t>
        </is>
      </c>
      <c r="G996" t="n">
        <v>0</v>
      </c>
      <c r="H996" t="inlineStr">
        <is>
          <t>upi</t>
        </is>
      </c>
      <c r="I996" t="n">
        <v>0</v>
      </c>
      <c r="J996" t="n">
        <v>0</v>
      </c>
      <c r="L996" t="n">
        <v>1</v>
      </c>
      <c r="R996" t="inlineStr">
        <is>
          <t>customer73@example.com</t>
        </is>
      </c>
      <c r="S996">
        <f>+919831410765</f>
        <v/>
      </c>
      <c r="T996" t="inlineStr">
        <is>
          <t>[]</t>
        </is>
      </c>
      <c r="U996" t="n">
        <v>29.98</v>
      </c>
      <c r="V996" t="n">
        <v>5.4</v>
      </c>
      <c r="Y996" s="1" t="n">
        <v>46166.46351851852</v>
      </c>
    </row>
    <row r="997">
      <c r="A997" t="inlineStr">
        <is>
          <t>pay_DNV4t54RD1h05i</t>
        </is>
      </c>
      <c r="B997" t="n">
        <v>1499</v>
      </c>
      <c r="C997" t="inlineStr">
        <is>
          <t>INR</t>
        </is>
      </c>
      <c r="D997" t="inlineStr">
        <is>
          <t>failed</t>
        </is>
      </c>
      <c r="E997" t="inlineStr">
        <is>
          <t>order_YVBpy2YqOnqj41</t>
        </is>
      </c>
      <c r="G997" t="n">
        <v>0</v>
      </c>
      <c r="H997" t="inlineStr">
        <is>
          <t>upi</t>
        </is>
      </c>
      <c r="I997" t="n">
        <v>0</v>
      </c>
      <c r="J997" t="n">
        <v>0</v>
      </c>
      <c r="L997" t="n">
        <v>0</v>
      </c>
      <c r="R997" t="inlineStr">
        <is>
          <t>customer200@example.com</t>
        </is>
      </c>
      <c r="S997">
        <f>+919840989840</f>
        <v/>
      </c>
      <c r="T997" t="inlineStr">
        <is>
          <t>[]</t>
        </is>
      </c>
      <c r="W997" t="inlineStr">
        <is>
          <t>BAD_REQUEST_ERROR</t>
        </is>
      </c>
      <c r="X997" t="inlineStr">
        <is>
          <t>UPI app declined the request</t>
        </is>
      </c>
      <c r="Y997" s="1" t="n">
        <v>46161.69540509259</v>
      </c>
    </row>
    <row r="998">
      <c r="A998" t="inlineStr">
        <is>
          <t>pay_V6yQT7PGKr0Rs1</t>
        </is>
      </c>
      <c r="B998" t="n">
        <v>1499</v>
      </c>
      <c r="C998" t="inlineStr">
        <is>
          <t>INR</t>
        </is>
      </c>
      <c r="D998" t="inlineStr">
        <is>
          <t>captured</t>
        </is>
      </c>
      <c r="E998" t="inlineStr">
        <is>
          <t>order_YVBpy2YqOnqj41</t>
        </is>
      </c>
      <c r="G998" t="n">
        <v>0</v>
      </c>
      <c r="H998" t="inlineStr">
        <is>
          <t>upi</t>
        </is>
      </c>
      <c r="I998" t="n">
        <v>0</v>
      </c>
      <c r="J998" t="n">
        <v>0</v>
      </c>
      <c r="L998" t="n">
        <v>1</v>
      </c>
      <c r="R998" t="inlineStr">
        <is>
          <t>customer156@example.com</t>
        </is>
      </c>
      <c r="S998">
        <f>+919874694115</f>
        <v/>
      </c>
      <c r="T998" t="inlineStr">
        <is>
          <t>[]</t>
        </is>
      </c>
      <c r="U998" t="n">
        <v>29.98</v>
      </c>
      <c r="V998" t="n">
        <v>5.4</v>
      </c>
      <c r="Y998" s="1" t="n">
        <v>46161.70071759259</v>
      </c>
    </row>
    <row r="999">
      <c r="A999" t="inlineStr">
        <is>
          <t>pay_cD0pBwHnT3VaeD</t>
        </is>
      </c>
      <c r="B999" t="n">
        <v>3999</v>
      </c>
      <c r="C999" t="inlineStr">
        <is>
          <t>INR</t>
        </is>
      </c>
      <c r="D999" t="inlineStr">
        <is>
          <t>failed</t>
        </is>
      </c>
      <c r="E999" t="inlineStr">
        <is>
          <t>order_0e3SZ0x972RRsf</t>
        </is>
      </c>
      <c r="G999" t="n">
        <v>0</v>
      </c>
      <c r="H999" t="inlineStr">
        <is>
          <t>netbanking</t>
        </is>
      </c>
      <c r="I999" t="n">
        <v>0</v>
      </c>
      <c r="J999" t="n">
        <v>0</v>
      </c>
      <c r="L999" t="n">
        <v>0</v>
      </c>
      <c r="R999" t="inlineStr">
        <is>
          <t>customer705@example.com</t>
        </is>
      </c>
      <c r="S999">
        <f>+919889580190</f>
        <v/>
      </c>
      <c r="T999" t="inlineStr">
        <is>
          <t>[]</t>
        </is>
      </c>
      <c r="W999" t="inlineStr">
        <is>
          <t>BAD_REQUEST_ERROR</t>
        </is>
      </c>
      <c r="X999" t="inlineStr">
        <is>
          <t>Bank server unavailable</t>
        </is>
      </c>
      <c r="Y999" s="1" t="n">
        <v>46160.51953703703</v>
      </c>
    </row>
    <row r="1000">
      <c r="A1000" t="inlineStr">
        <is>
          <t>pay_8ONhQVA08RUZ9T</t>
        </is>
      </c>
      <c r="B1000" t="n">
        <v>3999</v>
      </c>
      <c r="C1000" t="inlineStr">
        <is>
          <t>INR</t>
        </is>
      </c>
      <c r="D1000" t="inlineStr">
        <is>
          <t>failed</t>
        </is>
      </c>
      <c r="E1000" t="inlineStr">
        <is>
          <t>order_0e3SZ0x972RRsf</t>
        </is>
      </c>
      <c r="G1000" t="n">
        <v>0</v>
      </c>
      <c r="H1000" t="inlineStr">
        <is>
          <t>netbanking</t>
        </is>
      </c>
      <c r="I1000" t="n">
        <v>0</v>
      </c>
      <c r="J1000" t="n">
        <v>0</v>
      </c>
      <c r="L1000" t="n">
        <v>0</v>
      </c>
      <c r="R1000" t="inlineStr">
        <is>
          <t>customer237@example.com</t>
        </is>
      </c>
      <c r="S1000">
        <f>+919880788038</f>
        <v/>
      </c>
      <c r="T1000" t="inlineStr">
        <is>
          <t>[]</t>
        </is>
      </c>
      <c r="W1000" t="inlineStr">
        <is>
          <t>BAD_REQUEST_ERROR</t>
        </is>
      </c>
      <c r="X1000" t="inlineStr">
        <is>
          <t>Bank server unavailable</t>
        </is>
      </c>
      <c r="Y1000" s="1" t="n">
        <v>46160.52626157407</v>
      </c>
    </row>
    <row r="1001">
      <c r="A1001" t="inlineStr">
        <is>
          <t>pay_gsaL0hJpvwTFfB</t>
        </is>
      </c>
      <c r="B1001" t="n">
        <v>999</v>
      </c>
      <c r="C1001" t="inlineStr">
        <is>
          <t>INR</t>
        </is>
      </c>
      <c r="D1001" t="inlineStr">
        <is>
          <t>failed</t>
        </is>
      </c>
      <c r="E1001" t="inlineStr">
        <is>
          <t>order_6Pso9byxyVQds3</t>
        </is>
      </c>
      <c r="G1001" t="n">
        <v>0</v>
      </c>
      <c r="H1001" t="inlineStr">
        <is>
          <t>card</t>
        </is>
      </c>
      <c r="I1001" t="n">
        <v>0</v>
      </c>
      <c r="J1001" t="n">
        <v>0</v>
      </c>
      <c r="L1001" t="n">
        <v>0</v>
      </c>
      <c r="R1001" t="inlineStr">
        <is>
          <t>customer845@example.com</t>
        </is>
      </c>
      <c r="S1001">
        <f>+919862442577</f>
        <v/>
      </c>
      <c r="T1001" t="inlineStr">
        <is>
          <t>[]</t>
        </is>
      </c>
      <c r="W1001" t="inlineStr">
        <is>
          <t>BAD_REQUEST_ERROR</t>
        </is>
      </c>
      <c r="X1001" t="inlineStr">
        <is>
          <t>Payment cancelled by user</t>
        </is>
      </c>
      <c r="Y1001" s="1" t="n">
        <v>46172.12771990741</v>
      </c>
    </row>
    <row r="1002">
      <c r="A1002" t="inlineStr">
        <is>
          <t>pay_TIrburDdnpae6d</t>
        </is>
      </c>
      <c r="B1002" t="n">
        <v>999</v>
      </c>
      <c r="C1002" t="inlineStr">
        <is>
          <t>INR</t>
        </is>
      </c>
      <c r="D1002" t="inlineStr">
        <is>
          <t>captured</t>
        </is>
      </c>
      <c r="E1002" t="inlineStr">
        <is>
          <t>order_9xG3BVy1qoJ1id</t>
        </is>
      </c>
      <c r="G1002" t="n">
        <v>0</v>
      </c>
      <c r="H1002" t="inlineStr">
        <is>
          <t>card</t>
        </is>
      </c>
      <c r="I1002" t="n">
        <v>0</v>
      </c>
      <c r="J1002" t="n">
        <v>0</v>
      </c>
      <c r="L1002" t="n">
        <v>1</v>
      </c>
      <c r="R1002" t="inlineStr">
        <is>
          <t>customer796@example.com</t>
        </is>
      </c>
      <c r="S1002">
        <f>+919821784802</f>
        <v/>
      </c>
      <c r="T1002" t="inlineStr">
        <is>
          <t>[]</t>
        </is>
      </c>
      <c r="U1002" t="n">
        <v>19.98</v>
      </c>
      <c r="V1002" t="n">
        <v>3.6</v>
      </c>
      <c r="Y1002" s="1" t="n">
        <v>46158.18233796296</v>
      </c>
    </row>
    <row r="1003">
      <c r="A1003" t="inlineStr">
        <is>
          <t>pay_agQxO4yF2MVnLb</t>
        </is>
      </c>
      <c r="B1003" t="n">
        <v>1799</v>
      </c>
      <c r="C1003" t="inlineStr">
        <is>
          <t>INR</t>
        </is>
      </c>
      <c r="D1003" t="inlineStr">
        <is>
          <t>refunded</t>
        </is>
      </c>
      <c r="E1003" t="inlineStr">
        <is>
          <t>order_VdqZQPhfUrDr2Z</t>
        </is>
      </c>
      <c r="G1003" t="n">
        <v>0</v>
      </c>
      <c r="H1003" t="inlineStr">
        <is>
          <t>upi</t>
        </is>
      </c>
      <c r="I1003" t="n">
        <v>1799</v>
      </c>
      <c r="J1003" t="n">
        <v>0</v>
      </c>
      <c r="K1003" t="inlineStr">
        <is>
          <t>full</t>
        </is>
      </c>
      <c r="L1003" t="n">
        <v>1</v>
      </c>
      <c r="R1003" t="inlineStr">
        <is>
          <t>customer135@example.com</t>
        </is>
      </c>
      <c r="S1003">
        <f>+919816227917</f>
        <v/>
      </c>
      <c r="T1003" t="inlineStr">
        <is>
          <t>[]</t>
        </is>
      </c>
      <c r="U1003" t="n">
        <v>35.98</v>
      </c>
      <c r="V1003" t="n">
        <v>6.48</v>
      </c>
      <c r="Y1003" s="1" t="n">
        <v>46159.17943287037</v>
      </c>
    </row>
    <row r="1004">
      <c r="A1004" t="inlineStr">
        <is>
          <t>pay_PBVaD3qXpAc2k6</t>
        </is>
      </c>
      <c r="B1004" t="n">
        <v>3999</v>
      </c>
      <c r="C1004" t="inlineStr">
        <is>
          <t>INR</t>
        </is>
      </c>
      <c r="D1004" t="inlineStr">
        <is>
          <t>failed</t>
        </is>
      </c>
      <c r="E1004" t="inlineStr">
        <is>
          <t>order_1Iy1GdxlNhAGlU</t>
        </is>
      </c>
      <c r="G1004" t="n">
        <v>0</v>
      </c>
      <c r="H1004" t="inlineStr">
        <is>
          <t>netbanking</t>
        </is>
      </c>
      <c r="I1004" t="n">
        <v>0</v>
      </c>
      <c r="J1004" t="n">
        <v>0</v>
      </c>
      <c r="L1004" t="n">
        <v>0</v>
      </c>
      <c r="R1004" t="inlineStr">
        <is>
          <t>customer895@example.com</t>
        </is>
      </c>
      <c r="S1004">
        <f>+919898580736</f>
        <v/>
      </c>
      <c r="T1004" t="inlineStr">
        <is>
          <t>[]</t>
        </is>
      </c>
      <c r="W1004" t="inlineStr">
        <is>
          <t>BAD_REQUEST_ERROR</t>
        </is>
      </c>
      <c r="X1004" t="inlineStr">
        <is>
          <t>Payment cancelled by user</t>
        </is>
      </c>
      <c r="Y1004" s="1" t="n">
        <v>46166.40467592593</v>
      </c>
    </row>
    <row r="1005">
      <c r="A1005" t="inlineStr">
        <is>
          <t>pay_fCGtsVmKRb25Dk</t>
        </is>
      </c>
      <c r="B1005" t="n">
        <v>3999</v>
      </c>
      <c r="C1005" t="inlineStr">
        <is>
          <t>INR</t>
        </is>
      </c>
      <c r="D1005" t="inlineStr">
        <is>
          <t>captured</t>
        </is>
      </c>
      <c r="E1005" t="inlineStr">
        <is>
          <t>order_1Iy1GdxlNhAGlU</t>
        </is>
      </c>
      <c r="G1005" t="n">
        <v>0</v>
      </c>
      <c r="H1005" t="inlineStr">
        <is>
          <t>netbanking</t>
        </is>
      </c>
      <c r="I1005" t="n">
        <v>0</v>
      </c>
      <c r="J1005" t="n">
        <v>0</v>
      </c>
      <c r="L1005" t="n">
        <v>1</v>
      </c>
      <c r="R1005" t="inlineStr">
        <is>
          <t>customer493@example.com</t>
        </is>
      </c>
      <c r="S1005">
        <f>+919820177364</f>
        <v/>
      </c>
      <c r="T1005" t="inlineStr">
        <is>
          <t>[]</t>
        </is>
      </c>
      <c r="U1005" t="n">
        <v>79.98</v>
      </c>
      <c r="V1005" t="n">
        <v>14.4</v>
      </c>
      <c r="Y1005" s="1" t="n">
        <v>46166.40633101852</v>
      </c>
    </row>
    <row r="1006">
      <c r="A1006" t="inlineStr">
        <is>
          <t>pay_UDmeDGQKja3ihk</t>
        </is>
      </c>
      <c r="B1006" t="n">
        <v>1799</v>
      </c>
      <c r="C1006" t="inlineStr">
        <is>
          <t>INR</t>
        </is>
      </c>
      <c r="D1006" t="inlineStr">
        <is>
          <t>captured</t>
        </is>
      </c>
      <c r="E1006" t="inlineStr">
        <is>
          <t>order_Im0bUXDTpmydKj</t>
        </is>
      </c>
      <c r="G1006" t="n">
        <v>0</v>
      </c>
      <c r="H1006" t="inlineStr">
        <is>
          <t>card</t>
        </is>
      </c>
      <c r="I1006" t="n">
        <v>0</v>
      </c>
      <c r="J1006" t="n">
        <v>0</v>
      </c>
      <c r="L1006" t="n">
        <v>1</v>
      </c>
      <c r="R1006" t="inlineStr">
        <is>
          <t>customer139@example.com</t>
        </is>
      </c>
      <c r="S1006">
        <f>+919838147440</f>
        <v/>
      </c>
      <c r="T1006" t="inlineStr">
        <is>
          <t>[]</t>
        </is>
      </c>
      <c r="U1006" t="n">
        <v>35.98</v>
      </c>
      <c r="V1006" t="n">
        <v>6.48</v>
      </c>
      <c r="Y1006" s="1" t="n">
        <v>46148.90811342592</v>
      </c>
    </row>
    <row r="1007">
      <c r="A1007" t="inlineStr">
        <is>
          <t>pay_alAGWTt8oK82wv</t>
        </is>
      </c>
      <c r="B1007" t="n">
        <v>999</v>
      </c>
      <c r="C1007" t="inlineStr">
        <is>
          <t>INR</t>
        </is>
      </c>
      <c r="D1007" t="inlineStr">
        <is>
          <t>failed</t>
        </is>
      </c>
      <c r="E1007" t="inlineStr">
        <is>
          <t>order_IPlE9Y0vahByVe</t>
        </is>
      </c>
      <c r="G1007" t="n">
        <v>0</v>
      </c>
      <c r="H1007" t="inlineStr">
        <is>
          <t>upi</t>
        </is>
      </c>
      <c r="I1007" t="n">
        <v>0</v>
      </c>
      <c r="J1007" t="n">
        <v>0</v>
      </c>
      <c r="L1007" t="n">
        <v>0</v>
      </c>
      <c r="R1007" t="inlineStr">
        <is>
          <t>customer729@example.com</t>
        </is>
      </c>
      <c r="S1007">
        <f>+919821911432</f>
        <v/>
      </c>
      <c r="T1007" t="inlineStr">
        <is>
          <t>[]</t>
        </is>
      </c>
      <c r="W1007" t="inlineStr">
        <is>
          <t>BAD_REQUEST_ERROR</t>
        </is>
      </c>
      <c r="X1007" t="inlineStr">
        <is>
          <t>Payment was not completed on time</t>
        </is>
      </c>
      <c r="Y1007" s="1" t="n">
        <v>46145.45361111111</v>
      </c>
    </row>
    <row r="1008">
      <c r="A1008" t="inlineStr">
        <is>
          <t>pay_1cT5UxIaEc2HLZ</t>
        </is>
      </c>
      <c r="B1008" t="n">
        <v>999</v>
      </c>
      <c r="C1008" t="inlineStr">
        <is>
          <t>INR</t>
        </is>
      </c>
      <c r="D1008" t="inlineStr">
        <is>
          <t>captured</t>
        </is>
      </c>
      <c r="E1008" t="inlineStr">
        <is>
          <t>order_7cQNz0FOCIeXcH</t>
        </is>
      </c>
      <c r="G1008" t="n">
        <v>0</v>
      </c>
      <c r="H1008" t="inlineStr">
        <is>
          <t>upi</t>
        </is>
      </c>
      <c r="I1008" t="n">
        <v>0</v>
      </c>
      <c r="J1008" t="n">
        <v>0</v>
      </c>
      <c r="L1008" t="n">
        <v>1</v>
      </c>
      <c r="R1008" t="inlineStr">
        <is>
          <t>customer241@example.com</t>
        </is>
      </c>
      <c r="S1008">
        <f>+919844191444</f>
        <v/>
      </c>
      <c r="T1008" t="inlineStr">
        <is>
          <t>[]</t>
        </is>
      </c>
      <c r="U1008" t="n">
        <v>19.98</v>
      </c>
      <c r="V1008" t="n">
        <v>3.6</v>
      </c>
      <c r="Y1008" s="1" t="n">
        <v>46161.78934027778</v>
      </c>
    </row>
    <row r="1009">
      <c r="A1009" t="inlineStr">
        <is>
          <t>pay_xVxUq6iNM2L7XY</t>
        </is>
      </c>
      <c r="B1009" t="n">
        <v>1499</v>
      </c>
      <c r="C1009" t="inlineStr">
        <is>
          <t>INR</t>
        </is>
      </c>
      <c r="D1009" t="inlineStr">
        <is>
          <t>failed</t>
        </is>
      </c>
      <c r="E1009" t="inlineStr">
        <is>
          <t>order_qlE8qoPNTAKOAv</t>
        </is>
      </c>
      <c r="G1009" t="n">
        <v>0</v>
      </c>
      <c r="H1009" t="inlineStr">
        <is>
          <t>upi</t>
        </is>
      </c>
      <c r="I1009" t="n">
        <v>0</v>
      </c>
      <c r="J1009" t="n">
        <v>0</v>
      </c>
      <c r="L1009" t="n">
        <v>0</v>
      </c>
      <c r="R1009" t="inlineStr">
        <is>
          <t>customer851@example.com</t>
        </is>
      </c>
      <c r="S1009">
        <f>+919847323034</f>
        <v/>
      </c>
      <c r="T1009" t="inlineStr">
        <is>
          <t>[]</t>
        </is>
      </c>
      <c r="W1009" t="inlineStr">
        <is>
          <t>BAD_REQUEST_ERROR</t>
        </is>
      </c>
      <c r="X1009" t="inlineStr">
        <is>
          <t>UPI app declined the request</t>
        </is>
      </c>
      <c r="Y1009" s="1" t="n">
        <v>46163.22774305556</v>
      </c>
    </row>
    <row r="1010">
      <c r="A1010" t="inlineStr">
        <is>
          <t>pay_gldSm10U4n5xzi</t>
        </is>
      </c>
      <c r="B1010" t="n">
        <v>1499</v>
      </c>
      <c r="C1010" t="inlineStr">
        <is>
          <t>INR</t>
        </is>
      </c>
      <c r="D1010" t="inlineStr">
        <is>
          <t>captured</t>
        </is>
      </c>
      <c r="E1010" t="inlineStr">
        <is>
          <t>order_qlE8qoPNTAKOAv</t>
        </is>
      </c>
      <c r="G1010" t="n">
        <v>0</v>
      </c>
      <c r="H1010" t="inlineStr">
        <is>
          <t>netbanking</t>
        </is>
      </c>
      <c r="I1010" t="n">
        <v>0</v>
      </c>
      <c r="J1010" t="n">
        <v>0</v>
      </c>
      <c r="L1010" t="n">
        <v>1</v>
      </c>
      <c r="R1010" t="inlineStr">
        <is>
          <t>customer118@example.com</t>
        </is>
      </c>
      <c r="S1010">
        <f>+919854707594</f>
        <v/>
      </c>
      <c r="T1010" t="inlineStr">
        <is>
          <t>[]</t>
        </is>
      </c>
      <c r="U1010" t="n">
        <v>29.98</v>
      </c>
      <c r="V1010" t="n">
        <v>5.4</v>
      </c>
      <c r="Y1010" s="1" t="n">
        <v>46163.22859953704</v>
      </c>
    </row>
    <row r="1011">
      <c r="A1011" t="inlineStr">
        <is>
          <t>pay_lFQ3SYoMyLhxSB</t>
        </is>
      </c>
      <c r="B1011" t="n">
        <v>2499</v>
      </c>
      <c r="C1011" t="inlineStr">
        <is>
          <t>INR</t>
        </is>
      </c>
      <c r="D1011" t="inlineStr">
        <is>
          <t>captured</t>
        </is>
      </c>
      <c r="E1011" t="inlineStr">
        <is>
          <t>order_d1FNenpCqMBczk</t>
        </is>
      </c>
      <c r="G1011" t="n">
        <v>0</v>
      </c>
      <c r="H1011" t="inlineStr">
        <is>
          <t>card</t>
        </is>
      </c>
      <c r="I1011" t="n">
        <v>0</v>
      </c>
      <c r="J1011" t="n">
        <v>0</v>
      </c>
      <c r="L1011" t="n">
        <v>1</v>
      </c>
      <c r="R1011" t="inlineStr">
        <is>
          <t>customer189@example.com</t>
        </is>
      </c>
      <c r="S1011">
        <f>+919854892397</f>
        <v/>
      </c>
      <c r="T1011" t="inlineStr">
        <is>
          <t>[]</t>
        </is>
      </c>
      <c r="U1011" t="n">
        <v>49.98</v>
      </c>
      <c r="V1011" t="n">
        <v>9</v>
      </c>
      <c r="Y1011" s="1" t="n">
        <v>46164.43475694444</v>
      </c>
    </row>
    <row r="1012">
      <c r="A1012" t="inlineStr">
        <is>
          <t>pay_AGUgZ4ryH8Ztma</t>
        </is>
      </c>
      <c r="B1012" t="n">
        <v>999</v>
      </c>
      <c r="C1012" t="inlineStr">
        <is>
          <t>INR</t>
        </is>
      </c>
      <c r="D1012" t="inlineStr">
        <is>
          <t>captured</t>
        </is>
      </c>
      <c r="E1012" t="inlineStr">
        <is>
          <t>order_RBFRbmZpBy0oAf</t>
        </is>
      </c>
      <c r="G1012" t="n">
        <v>0</v>
      </c>
      <c r="H1012" t="inlineStr">
        <is>
          <t>netbanking</t>
        </is>
      </c>
      <c r="I1012" t="n">
        <v>0</v>
      </c>
      <c r="J1012" t="n">
        <v>0</v>
      </c>
      <c r="L1012" t="n">
        <v>1</v>
      </c>
      <c r="R1012" t="inlineStr">
        <is>
          <t>customer837@example.com</t>
        </is>
      </c>
      <c r="S1012">
        <f>+919886068561</f>
        <v/>
      </c>
      <c r="T1012" t="inlineStr">
        <is>
          <t>[]</t>
        </is>
      </c>
      <c r="U1012" t="n">
        <v>19.98</v>
      </c>
      <c r="V1012" t="n">
        <v>3.6</v>
      </c>
      <c r="Y1012" s="1" t="n">
        <v>46163.65244212963</v>
      </c>
    </row>
    <row r="1013">
      <c r="A1013" t="inlineStr">
        <is>
          <t>pay_fcinrpUOC5FW8T</t>
        </is>
      </c>
      <c r="B1013" t="n">
        <v>1499</v>
      </c>
      <c r="C1013" t="inlineStr">
        <is>
          <t>INR</t>
        </is>
      </c>
      <c r="D1013" t="inlineStr">
        <is>
          <t>captured</t>
        </is>
      </c>
      <c r="E1013" t="inlineStr">
        <is>
          <t>order_sFz011OQyJgGex</t>
        </is>
      </c>
      <c r="G1013" t="n">
        <v>0</v>
      </c>
      <c r="H1013" t="inlineStr">
        <is>
          <t>card</t>
        </is>
      </c>
      <c r="I1013" t="n">
        <v>0</v>
      </c>
      <c r="J1013" t="n">
        <v>0</v>
      </c>
      <c r="L1013" t="n">
        <v>1</v>
      </c>
      <c r="R1013" t="inlineStr">
        <is>
          <t>customer745@example.com</t>
        </is>
      </c>
      <c r="S1013">
        <f>+919823588910</f>
        <v/>
      </c>
      <c r="T1013" t="inlineStr">
        <is>
          <t>[]</t>
        </is>
      </c>
      <c r="U1013" t="n">
        <v>29.98</v>
      </c>
      <c r="V1013" t="n">
        <v>5.4</v>
      </c>
      <c r="Y1013" s="1" t="n">
        <v>46171.17612268519</v>
      </c>
    </row>
    <row r="1014">
      <c r="A1014" t="inlineStr">
        <is>
          <t>pay_0MevU5adpS3enl</t>
        </is>
      </c>
      <c r="B1014" t="n">
        <v>1499</v>
      </c>
      <c r="C1014" t="inlineStr">
        <is>
          <t>INR</t>
        </is>
      </c>
      <c r="D1014" t="inlineStr">
        <is>
          <t>captured</t>
        </is>
      </c>
      <c r="E1014" t="inlineStr">
        <is>
          <t>order_VYpOnHY9UPoIIJ</t>
        </is>
      </c>
      <c r="G1014" t="n">
        <v>0</v>
      </c>
      <c r="H1014" t="inlineStr">
        <is>
          <t>upi</t>
        </is>
      </c>
      <c r="I1014" t="n">
        <v>0</v>
      </c>
      <c r="J1014" t="n">
        <v>0</v>
      </c>
      <c r="L1014" t="n">
        <v>1</v>
      </c>
      <c r="R1014" t="inlineStr">
        <is>
          <t>customer266@example.com</t>
        </is>
      </c>
      <c r="S1014">
        <f>+919895217135</f>
        <v/>
      </c>
      <c r="T1014" t="inlineStr">
        <is>
          <t>[]</t>
        </is>
      </c>
      <c r="U1014" t="n">
        <v>29.98</v>
      </c>
      <c r="V1014" t="n">
        <v>5.4</v>
      </c>
      <c r="Y1014" s="1" t="n">
        <v>46160.73027777778</v>
      </c>
    </row>
    <row r="1015">
      <c r="A1015" t="inlineStr">
        <is>
          <t>pay_afI8ahzOHBPCua</t>
        </is>
      </c>
      <c r="B1015" t="n">
        <v>2499</v>
      </c>
      <c r="C1015" t="inlineStr">
        <is>
          <t>INR</t>
        </is>
      </c>
      <c r="D1015" t="inlineStr">
        <is>
          <t>captured</t>
        </is>
      </c>
      <c r="E1015" t="inlineStr">
        <is>
          <t>order_xoj5rGMPmmdZJk</t>
        </is>
      </c>
      <c r="G1015" t="n">
        <v>0</v>
      </c>
      <c r="H1015" t="inlineStr">
        <is>
          <t>netbanking</t>
        </is>
      </c>
      <c r="I1015" t="n">
        <v>0</v>
      </c>
      <c r="J1015" t="n">
        <v>0</v>
      </c>
      <c r="L1015" t="n">
        <v>1</v>
      </c>
      <c r="R1015" t="inlineStr">
        <is>
          <t>customer847@example.com</t>
        </is>
      </c>
      <c r="S1015">
        <f>+919865819418</f>
        <v/>
      </c>
      <c r="T1015" t="inlineStr">
        <is>
          <t>[]</t>
        </is>
      </c>
      <c r="U1015" t="n">
        <v>49.98</v>
      </c>
      <c r="V1015" t="n">
        <v>9</v>
      </c>
      <c r="Y1015" s="1" t="n">
        <v>46154.055</v>
      </c>
    </row>
    <row r="1016">
      <c r="A1016" t="inlineStr">
        <is>
          <t>pay_8o1jRJOoYIFLyH</t>
        </is>
      </c>
      <c r="B1016" t="n">
        <v>999</v>
      </c>
      <c r="C1016" t="inlineStr">
        <is>
          <t>INR</t>
        </is>
      </c>
      <c r="D1016" t="inlineStr">
        <is>
          <t>captured</t>
        </is>
      </c>
      <c r="E1016" t="inlineStr">
        <is>
          <t>order_5tRn7huFtHVdh0</t>
        </is>
      </c>
      <c r="G1016" t="n">
        <v>0</v>
      </c>
      <c r="H1016" t="inlineStr">
        <is>
          <t>card</t>
        </is>
      </c>
      <c r="I1016" t="n">
        <v>0</v>
      </c>
      <c r="J1016" t="n">
        <v>0</v>
      </c>
      <c r="L1016" t="n">
        <v>1</v>
      </c>
      <c r="R1016" t="inlineStr">
        <is>
          <t>customer423@example.com</t>
        </is>
      </c>
      <c r="S1016">
        <f>+919816131526</f>
        <v/>
      </c>
      <c r="T1016" t="inlineStr">
        <is>
          <t>[]</t>
        </is>
      </c>
      <c r="U1016" t="n">
        <v>19.98</v>
      </c>
      <c r="V1016" t="n">
        <v>3.6</v>
      </c>
      <c r="Y1016" s="1" t="n">
        <v>46161.5575462963</v>
      </c>
    </row>
    <row r="1017">
      <c r="A1017" t="inlineStr">
        <is>
          <t>pay_TAzTi8JpNvpY2F</t>
        </is>
      </c>
      <c r="B1017" t="n">
        <v>1799</v>
      </c>
      <c r="C1017" t="inlineStr">
        <is>
          <t>INR</t>
        </is>
      </c>
      <c r="D1017" t="inlineStr">
        <is>
          <t>captured</t>
        </is>
      </c>
      <c r="E1017" t="inlineStr">
        <is>
          <t>order_ZXjFL2MhOvLKS7</t>
        </is>
      </c>
      <c r="G1017" t="n">
        <v>0</v>
      </c>
      <c r="H1017" t="inlineStr">
        <is>
          <t>upi</t>
        </is>
      </c>
      <c r="I1017" t="n">
        <v>0</v>
      </c>
      <c r="J1017" t="n">
        <v>0</v>
      </c>
      <c r="L1017" t="n">
        <v>1</v>
      </c>
      <c r="R1017" t="inlineStr">
        <is>
          <t>customer278@example.com</t>
        </is>
      </c>
      <c r="S1017">
        <f>+919811431126</f>
        <v/>
      </c>
      <c r="T1017" t="inlineStr">
        <is>
          <t>[]</t>
        </is>
      </c>
      <c r="U1017" t="n">
        <v>35.98</v>
      </c>
      <c r="V1017" t="n">
        <v>6.48</v>
      </c>
      <c r="Y1017" s="1" t="n">
        <v>46173.14771990741</v>
      </c>
    </row>
    <row r="1018">
      <c r="A1018" t="inlineStr">
        <is>
          <t>pay_qr8Bohu9IbgNys</t>
        </is>
      </c>
      <c r="B1018" t="n">
        <v>499</v>
      </c>
      <c r="C1018" t="inlineStr">
        <is>
          <t>INR</t>
        </is>
      </c>
      <c r="D1018" t="inlineStr">
        <is>
          <t>captured</t>
        </is>
      </c>
      <c r="E1018" t="inlineStr">
        <is>
          <t>order_zvYNvWXFhnMZ0Z</t>
        </is>
      </c>
      <c r="G1018" t="n">
        <v>0</v>
      </c>
      <c r="H1018" t="inlineStr">
        <is>
          <t>upi</t>
        </is>
      </c>
      <c r="I1018" t="n">
        <v>0</v>
      </c>
      <c r="J1018" t="n">
        <v>0</v>
      </c>
      <c r="L1018" t="n">
        <v>1</v>
      </c>
      <c r="R1018" t="inlineStr">
        <is>
          <t>customer747@example.com</t>
        </is>
      </c>
      <c r="S1018">
        <f>+919830011261</f>
        <v/>
      </c>
      <c r="T1018" t="inlineStr">
        <is>
          <t>[]</t>
        </is>
      </c>
      <c r="U1018" t="n">
        <v>9.98</v>
      </c>
      <c r="V1018" t="n">
        <v>1.8</v>
      </c>
      <c r="Y1018" s="1" t="n">
        <v>46162.85292824074</v>
      </c>
    </row>
    <row r="1019">
      <c r="A1019" t="inlineStr">
        <is>
          <t>pay_YCY0fB6Di9KqYm</t>
        </is>
      </c>
      <c r="B1019" t="n">
        <v>499</v>
      </c>
      <c r="C1019" t="inlineStr">
        <is>
          <t>INR</t>
        </is>
      </c>
      <c r="D1019" t="inlineStr">
        <is>
          <t>captured</t>
        </is>
      </c>
      <c r="E1019" t="inlineStr">
        <is>
          <t>order_hZHjz0BTnE5UA4</t>
        </is>
      </c>
      <c r="G1019" t="n">
        <v>0</v>
      </c>
      <c r="H1019" t="inlineStr">
        <is>
          <t>upi</t>
        </is>
      </c>
      <c r="I1019" t="n">
        <v>0</v>
      </c>
      <c r="J1019" t="n">
        <v>0</v>
      </c>
      <c r="L1019" t="n">
        <v>1</v>
      </c>
      <c r="R1019" t="inlineStr">
        <is>
          <t>customer119@example.com</t>
        </is>
      </c>
      <c r="S1019">
        <f>+919826075073</f>
        <v/>
      </c>
      <c r="T1019" t="inlineStr">
        <is>
          <t>[]</t>
        </is>
      </c>
      <c r="U1019" t="n">
        <v>9.98</v>
      </c>
      <c r="V1019" t="n">
        <v>1.8</v>
      </c>
      <c r="Y1019" s="1" t="n">
        <v>46167.84605324074</v>
      </c>
    </row>
    <row r="1020">
      <c r="A1020" t="inlineStr">
        <is>
          <t>pay_YxnIldB0IKt4Rj</t>
        </is>
      </c>
      <c r="B1020" t="n">
        <v>3999</v>
      </c>
      <c r="C1020" t="inlineStr">
        <is>
          <t>INR</t>
        </is>
      </c>
      <c r="D1020" t="inlineStr">
        <is>
          <t>captured</t>
        </is>
      </c>
      <c r="E1020" t="inlineStr">
        <is>
          <t>order_1nwtYJfJds10cf</t>
        </is>
      </c>
      <c r="G1020" t="n">
        <v>0</v>
      </c>
      <c r="H1020" t="inlineStr">
        <is>
          <t>upi</t>
        </is>
      </c>
      <c r="I1020" t="n">
        <v>0</v>
      </c>
      <c r="J1020" t="n">
        <v>0</v>
      </c>
      <c r="L1020" t="n">
        <v>1</v>
      </c>
      <c r="R1020" t="inlineStr">
        <is>
          <t>customer492@example.com</t>
        </is>
      </c>
      <c r="S1020">
        <f>+919875114817</f>
        <v/>
      </c>
      <c r="T1020" t="inlineStr">
        <is>
          <t>[]</t>
        </is>
      </c>
      <c r="U1020" t="n">
        <v>79.98</v>
      </c>
      <c r="V1020" t="n">
        <v>14.4</v>
      </c>
      <c r="Y1020" s="1" t="n">
        <v>46150.92280092592</v>
      </c>
    </row>
    <row r="1021">
      <c r="A1021" t="inlineStr">
        <is>
          <t>pay_JaSUqkhLsyOkFt</t>
        </is>
      </c>
      <c r="B1021" t="n">
        <v>1499</v>
      </c>
      <c r="C1021" t="inlineStr">
        <is>
          <t>INR</t>
        </is>
      </c>
      <c r="D1021" t="inlineStr">
        <is>
          <t>captured</t>
        </is>
      </c>
      <c r="E1021" t="inlineStr">
        <is>
          <t>order_e8yG0SqPjcreoE</t>
        </is>
      </c>
      <c r="G1021" t="n">
        <v>0</v>
      </c>
      <c r="H1021" t="inlineStr">
        <is>
          <t>upi</t>
        </is>
      </c>
      <c r="I1021" t="n">
        <v>0</v>
      </c>
      <c r="J1021" t="n">
        <v>0</v>
      </c>
      <c r="L1021" t="n">
        <v>1</v>
      </c>
      <c r="R1021" t="inlineStr">
        <is>
          <t>customer493@example.com</t>
        </is>
      </c>
      <c r="S1021">
        <f>+919895215578</f>
        <v/>
      </c>
      <c r="T1021" t="inlineStr">
        <is>
          <t>[]</t>
        </is>
      </c>
      <c r="U1021" t="n">
        <v>29.98</v>
      </c>
      <c r="V1021" t="n">
        <v>5.4</v>
      </c>
      <c r="Y1021" s="1" t="n">
        <v>46146.02136574074</v>
      </c>
    </row>
    <row r="1022">
      <c r="A1022" t="inlineStr">
        <is>
          <t>pay_RlNIEDmGTxS4ut</t>
        </is>
      </c>
      <c r="B1022" t="n">
        <v>1799</v>
      </c>
      <c r="C1022" t="inlineStr">
        <is>
          <t>INR</t>
        </is>
      </c>
      <c r="D1022" t="inlineStr">
        <is>
          <t>captured</t>
        </is>
      </c>
      <c r="E1022" t="inlineStr">
        <is>
          <t>order_3WhPAL1sqFk1is</t>
        </is>
      </c>
      <c r="G1022" t="n">
        <v>0</v>
      </c>
      <c r="H1022" t="inlineStr">
        <is>
          <t>netbanking</t>
        </is>
      </c>
      <c r="I1022" t="n">
        <v>0</v>
      </c>
      <c r="J1022" t="n">
        <v>0</v>
      </c>
      <c r="L1022" t="n">
        <v>1</v>
      </c>
      <c r="R1022" t="inlineStr">
        <is>
          <t>customer69@example.com</t>
        </is>
      </c>
      <c r="S1022">
        <f>+919885379265</f>
        <v/>
      </c>
      <c r="T1022" t="inlineStr">
        <is>
          <t>[]</t>
        </is>
      </c>
      <c r="U1022" t="n">
        <v>35.98</v>
      </c>
      <c r="V1022" t="n">
        <v>6.48</v>
      </c>
      <c r="Y1022" s="1" t="n">
        <v>46147.27831018518</v>
      </c>
    </row>
    <row r="1023">
      <c r="A1023" t="inlineStr">
        <is>
          <t>pay_2Sv5nwiExCMpGJ</t>
        </is>
      </c>
      <c r="B1023" t="n">
        <v>1799</v>
      </c>
      <c r="C1023" t="inlineStr">
        <is>
          <t>INR</t>
        </is>
      </c>
      <c r="D1023" t="inlineStr">
        <is>
          <t>captured</t>
        </is>
      </c>
      <c r="E1023" t="inlineStr">
        <is>
          <t>order_foNj4JynTvZ9hb</t>
        </is>
      </c>
      <c r="G1023" t="n">
        <v>0</v>
      </c>
      <c r="H1023" t="inlineStr">
        <is>
          <t>upi</t>
        </is>
      </c>
      <c r="I1023" t="n">
        <v>0</v>
      </c>
      <c r="J1023" t="n">
        <v>0</v>
      </c>
      <c r="L1023" t="n">
        <v>1</v>
      </c>
      <c r="R1023" t="inlineStr">
        <is>
          <t>customer76@example.com</t>
        </is>
      </c>
      <c r="S1023">
        <f>+919862614910</f>
        <v/>
      </c>
      <c r="T1023" t="inlineStr">
        <is>
          <t>[]</t>
        </is>
      </c>
      <c r="U1023" t="n">
        <v>35.98</v>
      </c>
      <c r="V1023" t="n">
        <v>6.48</v>
      </c>
      <c r="Y1023" s="1" t="n">
        <v>46153.80300925926</v>
      </c>
    </row>
    <row r="1024">
      <c r="A1024" t="inlineStr">
        <is>
          <t>pay_gU51H20dpjaHFf</t>
        </is>
      </c>
      <c r="B1024" t="n">
        <v>999</v>
      </c>
      <c r="C1024" t="inlineStr">
        <is>
          <t>INR</t>
        </is>
      </c>
      <c r="D1024" t="inlineStr">
        <is>
          <t>captured</t>
        </is>
      </c>
      <c r="E1024" t="inlineStr">
        <is>
          <t>order_3CHz95n2VdvOQh</t>
        </is>
      </c>
      <c r="G1024" t="n">
        <v>0</v>
      </c>
      <c r="H1024" t="inlineStr">
        <is>
          <t>upi</t>
        </is>
      </c>
      <c r="I1024" t="n">
        <v>0</v>
      </c>
      <c r="J1024" t="n">
        <v>0</v>
      </c>
      <c r="L1024" t="n">
        <v>1</v>
      </c>
      <c r="R1024" t="inlineStr">
        <is>
          <t>customer156@example.com</t>
        </is>
      </c>
      <c r="S1024">
        <f>+919860259835</f>
        <v/>
      </c>
      <c r="T1024" t="inlineStr">
        <is>
          <t>[]</t>
        </is>
      </c>
      <c r="U1024" t="n">
        <v>19.98</v>
      </c>
      <c r="V1024" t="n">
        <v>3.6</v>
      </c>
      <c r="Y1024" s="1" t="n">
        <v>46149.58416666667</v>
      </c>
    </row>
    <row r="1025">
      <c r="A1025" t="inlineStr">
        <is>
          <t>pay_u4stlzq4MHeNyt</t>
        </is>
      </c>
      <c r="B1025" t="n">
        <v>1499</v>
      </c>
      <c r="C1025" t="inlineStr">
        <is>
          <t>INR</t>
        </is>
      </c>
      <c r="D1025" t="inlineStr">
        <is>
          <t>refunded</t>
        </is>
      </c>
      <c r="E1025" t="inlineStr">
        <is>
          <t>order_7OAPHfvEBGy9Al</t>
        </is>
      </c>
      <c r="G1025" t="n">
        <v>0</v>
      </c>
      <c r="H1025" t="inlineStr">
        <is>
          <t>upi</t>
        </is>
      </c>
      <c r="I1025" t="n">
        <v>1499</v>
      </c>
      <c r="J1025" t="n">
        <v>0</v>
      </c>
      <c r="K1025" t="inlineStr">
        <is>
          <t>full</t>
        </is>
      </c>
      <c r="L1025" t="n">
        <v>1</v>
      </c>
      <c r="R1025" t="inlineStr">
        <is>
          <t>customer205@example.com</t>
        </is>
      </c>
      <c r="S1025">
        <f>+919893201776</f>
        <v/>
      </c>
      <c r="T1025" t="inlineStr">
        <is>
          <t>[]</t>
        </is>
      </c>
      <c r="U1025" t="n">
        <v>29.98</v>
      </c>
      <c r="V1025" t="n">
        <v>5.4</v>
      </c>
      <c r="Y1025" s="1" t="n">
        <v>46169.8671875</v>
      </c>
    </row>
    <row r="1026">
      <c r="A1026" t="inlineStr">
        <is>
          <t>pay_1gUz4l3dDJl7WK</t>
        </is>
      </c>
      <c r="B1026" t="n">
        <v>1499</v>
      </c>
      <c r="C1026" t="inlineStr">
        <is>
          <t>INR</t>
        </is>
      </c>
      <c r="D1026" t="inlineStr">
        <is>
          <t>captured</t>
        </is>
      </c>
      <c r="E1026" t="inlineStr">
        <is>
          <t>order_kyjJnyDwBXWx9E</t>
        </is>
      </c>
      <c r="G1026" t="n">
        <v>0</v>
      </c>
      <c r="H1026" t="inlineStr">
        <is>
          <t>upi</t>
        </is>
      </c>
      <c r="I1026" t="n">
        <v>0</v>
      </c>
      <c r="J1026" t="n">
        <v>0</v>
      </c>
      <c r="L1026" t="n">
        <v>1</v>
      </c>
      <c r="R1026" t="inlineStr">
        <is>
          <t>customer674@example.com</t>
        </is>
      </c>
      <c r="S1026">
        <f>+919872133349</f>
        <v/>
      </c>
      <c r="T1026" t="inlineStr">
        <is>
          <t>[]</t>
        </is>
      </c>
      <c r="U1026" t="n">
        <v>29.98</v>
      </c>
      <c r="V1026" t="n">
        <v>5.4</v>
      </c>
      <c r="Y1026" s="1" t="n">
        <v>46153.08425925926</v>
      </c>
    </row>
    <row r="1027">
      <c r="A1027" t="inlineStr">
        <is>
          <t>pay_1XlR2H8piZvtiu</t>
        </is>
      </c>
      <c r="B1027" t="n">
        <v>3999</v>
      </c>
      <c r="C1027" t="inlineStr">
        <is>
          <t>INR</t>
        </is>
      </c>
      <c r="D1027" t="inlineStr">
        <is>
          <t>captured</t>
        </is>
      </c>
      <c r="E1027" t="inlineStr">
        <is>
          <t>order_azqELeZCQEpAYY</t>
        </is>
      </c>
      <c r="G1027" t="n">
        <v>0</v>
      </c>
      <c r="H1027" t="inlineStr">
        <is>
          <t>upi</t>
        </is>
      </c>
      <c r="I1027" t="n">
        <v>0</v>
      </c>
      <c r="J1027" t="n">
        <v>0</v>
      </c>
      <c r="L1027" t="n">
        <v>1</v>
      </c>
      <c r="R1027" t="inlineStr">
        <is>
          <t>customer100@example.com</t>
        </is>
      </c>
      <c r="S1027">
        <f>+919811227393</f>
        <v/>
      </c>
      <c r="T1027" t="inlineStr">
        <is>
          <t>[]</t>
        </is>
      </c>
      <c r="U1027" t="n">
        <v>79.98</v>
      </c>
      <c r="V1027" t="n">
        <v>14.4</v>
      </c>
      <c r="Y1027" s="1" t="n">
        <v>46162.87525462963</v>
      </c>
    </row>
    <row r="1028">
      <c r="A1028" t="inlineStr">
        <is>
          <t>pay_aT7BciAMsj6xrS</t>
        </is>
      </c>
      <c r="B1028" t="n">
        <v>2499</v>
      </c>
      <c r="C1028" t="inlineStr">
        <is>
          <t>INR</t>
        </is>
      </c>
      <c r="D1028" t="inlineStr">
        <is>
          <t>captured</t>
        </is>
      </c>
      <c r="E1028" t="inlineStr">
        <is>
          <t>order_IQ4LSixTDNlo7W</t>
        </is>
      </c>
      <c r="G1028" t="n">
        <v>0</v>
      </c>
      <c r="H1028" t="inlineStr">
        <is>
          <t>upi</t>
        </is>
      </c>
      <c r="I1028" t="n">
        <v>0</v>
      </c>
      <c r="J1028" t="n">
        <v>0</v>
      </c>
      <c r="L1028" t="n">
        <v>1</v>
      </c>
      <c r="R1028" t="inlineStr">
        <is>
          <t>customer406@example.com</t>
        </is>
      </c>
      <c r="S1028">
        <f>+919829572469</f>
        <v/>
      </c>
      <c r="T1028" t="inlineStr">
        <is>
          <t>[]</t>
        </is>
      </c>
      <c r="U1028" t="n">
        <v>49.98</v>
      </c>
      <c r="V1028" t="n">
        <v>9</v>
      </c>
      <c r="Y1028" s="1" t="n">
        <v>46168.33616898148</v>
      </c>
    </row>
    <row r="1029">
      <c r="A1029" t="inlineStr">
        <is>
          <t>pay_wTo2vkZ9ee7lvr</t>
        </is>
      </c>
      <c r="B1029" t="n">
        <v>1499</v>
      </c>
      <c r="C1029" t="inlineStr">
        <is>
          <t>INR</t>
        </is>
      </c>
      <c r="D1029" t="inlineStr">
        <is>
          <t>captured</t>
        </is>
      </c>
      <c r="E1029" t="inlineStr">
        <is>
          <t>order_vurpezs2Qs7MZW</t>
        </is>
      </c>
      <c r="G1029" t="n">
        <v>0</v>
      </c>
      <c r="H1029" t="inlineStr">
        <is>
          <t>card</t>
        </is>
      </c>
      <c r="I1029" t="n">
        <v>0</v>
      </c>
      <c r="J1029" t="n">
        <v>0</v>
      </c>
      <c r="L1029" t="n">
        <v>1</v>
      </c>
      <c r="R1029" t="inlineStr">
        <is>
          <t>customer769@example.com</t>
        </is>
      </c>
      <c r="S1029">
        <f>+919867515644</f>
        <v/>
      </c>
      <c r="T1029" t="inlineStr">
        <is>
          <t>[]</t>
        </is>
      </c>
      <c r="U1029" t="n">
        <v>29.98</v>
      </c>
      <c r="V1029" t="n">
        <v>5.4</v>
      </c>
      <c r="Y1029" s="1" t="n">
        <v>46161.25994212963</v>
      </c>
    </row>
    <row r="1030">
      <c r="A1030" t="inlineStr">
        <is>
          <t>pay_3kAGbMeCPvR5Yr</t>
        </is>
      </c>
      <c r="B1030" t="n">
        <v>2499</v>
      </c>
      <c r="C1030" t="inlineStr">
        <is>
          <t>INR</t>
        </is>
      </c>
      <c r="D1030" t="inlineStr">
        <is>
          <t>failed</t>
        </is>
      </c>
      <c r="E1030" t="inlineStr">
        <is>
          <t>order_tPOlOlHuPofES9</t>
        </is>
      </c>
      <c r="G1030" t="n">
        <v>0</v>
      </c>
      <c r="H1030" t="inlineStr">
        <is>
          <t>upi</t>
        </is>
      </c>
      <c r="I1030" t="n">
        <v>0</v>
      </c>
      <c r="J1030" t="n">
        <v>0</v>
      </c>
      <c r="L1030" t="n">
        <v>0</v>
      </c>
      <c r="R1030" t="inlineStr">
        <is>
          <t>customer129@example.com</t>
        </is>
      </c>
      <c r="S1030">
        <f>+919880977980</f>
        <v/>
      </c>
      <c r="T1030" t="inlineStr">
        <is>
          <t>[]</t>
        </is>
      </c>
      <c r="W1030" t="inlineStr">
        <is>
          <t>BAD_REQUEST_ERROR</t>
        </is>
      </c>
      <c r="X1030" t="inlineStr">
        <is>
          <t>Payment was not completed on time</t>
        </is>
      </c>
      <c r="Y1030" s="1" t="n">
        <v>46163.82357638889</v>
      </c>
    </row>
    <row r="1031">
      <c r="A1031" t="inlineStr">
        <is>
          <t>pay_EhuG4fqxqLWqID</t>
        </is>
      </c>
      <c r="B1031" t="n">
        <v>1499</v>
      </c>
      <c r="C1031" t="inlineStr">
        <is>
          <t>INR</t>
        </is>
      </c>
      <c r="D1031" t="inlineStr">
        <is>
          <t>failed</t>
        </is>
      </c>
      <c r="E1031" t="inlineStr">
        <is>
          <t>order_Ynm9NVIXcI5YNb</t>
        </is>
      </c>
      <c r="G1031" t="n">
        <v>0</v>
      </c>
      <c r="H1031" t="inlineStr">
        <is>
          <t>card</t>
        </is>
      </c>
      <c r="I1031" t="n">
        <v>0</v>
      </c>
      <c r="J1031" t="n">
        <v>0</v>
      </c>
      <c r="L1031" t="n">
        <v>0</v>
      </c>
      <c r="R1031" t="inlineStr">
        <is>
          <t>customer178@example.com</t>
        </is>
      </c>
      <c r="S1031">
        <f>+919844446212</f>
        <v/>
      </c>
      <c r="T1031" t="inlineStr">
        <is>
          <t>[]</t>
        </is>
      </c>
      <c r="W1031" t="inlineStr">
        <is>
          <t>BAD_REQUEST_ERROR</t>
        </is>
      </c>
      <c r="X1031" t="inlineStr">
        <is>
          <t>Payment failed due to incorrect OTP</t>
        </is>
      </c>
      <c r="Y1031" s="1" t="n">
        <v>46158.44158564815</v>
      </c>
    </row>
    <row r="1032">
      <c r="A1032" t="inlineStr">
        <is>
          <t>pay_0K3BYGAlupEius</t>
        </is>
      </c>
      <c r="B1032" t="n">
        <v>1499</v>
      </c>
      <c r="C1032" t="inlineStr">
        <is>
          <t>INR</t>
        </is>
      </c>
      <c r="D1032" t="inlineStr">
        <is>
          <t>failed</t>
        </is>
      </c>
      <c r="E1032" t="inlineStr">
        <is>
          <t>order_Ynm9NVIXcI5YNb</t>
        </is>
      </c>
      <c r="G1032" t="n">
        <v>0</v>
      </c>
      <c r="H1032" t="inlineStr">
        <is>
          <t>card</t>
        </is>
      </c>
      <c r="I1032" t="n">
        <v>0</v>
      </c>
      <c r="J1032" t="n">
        <v>0</v>
      </c>
      <c r="L1032" t="n">
        <v>0</v>
      </c>
      <c r="R1032" t="inlineStr">
        <is>
          <t>customer567@example.com</t>
        </is>
      </c>
      <c r="S1032">
        <f>+919861510533</f>
        <v/>
      </c>
      <c r="T1032" t="inlineStr">
        <is>
          <t>[]</t>
        </is>
      </c>
      <c r="W1032" t="inlineStr">
        <is>
          <t>BAD_REQUEST_ERROR</t>
        </is>
      </c>
      <c r="X1032" t="inlineStr">
        <is>
          <t>Payment cancelled by user</t>
        </is>
      </c>
      <c r="Y1032" s="1" t="n">
        <v>46158.44237268518</v>
      </c>
    </row>
    <row r="1033">
      <c r="A1033" t="inlineStr">
        <is>
          <t>pay_S4NhmUxxvJxZnJ</t>
        </is>
      </c>
      <c r="B1033" t="n">
        <v>1799</v>
      </c>
      <c r="C1033" t="inlineStr">
        <is>
          <t>INR</t>
        </is>
      </c>
      <c r="D1033" t="inlineStr">
        <is>
          <t>captured</t>
        </is>
      </c>
      <c r="E1033" t="inlineStr">
        <is>
          <t>order_HK57C96e5wqedM</t>
        </is>
      </c>
      <c r="G1033" t="n">
        <v>0</v>
      </c>
      <c r="H1033" t="inlineStr">
        <is>
          <t>upi</t>
        </is>
      </c>
      <c r="I1033" t="n">
        <v>0</v>
      </c>
      <c r="J1033" t="n">
        <v>0</v>
      </c>
      <c r="L1033" t="n">
        <v>1</v>
      </c>
      <c r="R1033" t="inlineStr">
        <is>
          <t>customer495@example.com</t>
        </is>
      </c>
      <c r="S1033">
        <f>+919843166815</f>
        <v/>
      </c>
      <c r="T1033" t="inlineStr">
        <is>
          <t>[]</t>
        </is>
      </c>
      <c r="U1033" t="n">
        <v>35.98</v>
      </c>
      <c r="V1033" t="n">
        <v>6.48</v>
      </c>
      <c r="Y1033" s="1" t="n">
        <v>46174.00119212963</v>
      </c>
    </row>
    <row r="1034">
      <c r="A1034" t="inlineStr">
        <is>
          <t>pay_NpyPqRYNq3Y3eL</t>
        </is>
      </c>
      <c r="B1034" t="n">
        <v>1799</v>
      </c>
      <c r="C1034" t="inlineStr">
        <is>
          <t>INR</t>
        </is>
      </c>
      <c r="D1034" t="inlineStr">
        <is>
          <t>captured</t>
        </is>
      </c>
      <c r="G1034" t="n">
        <v>0</v>
      </c>
      <c r="H1034" t="inlineStr">
        <is>
          <t>upi</t>
        </is>
      </c>
      <c r="I1034" t="n">
        <v>0</v>
      </c>
      <c r="J1034" t="n">
        <v>0</v>
      </c>
      <c r="L1034" t="n">
        <v>1</v>
      </c>
      <c r="R1034" t="inlineStr">
        <is>
          <t>customer184@example.com</t>
        </is>
      </c>
      <c r="S1034">
        <f>+919818467330</f>
        <v/>
      </c>
      <c r="T1034" t="inlineStr">
        <is>
          <t>[]</t>
        </is>
      </c>
      <c r="U1034" t="n">
        <v>35.98</v>
      </c>
      <c r="V1034" t="n">
        <v>6.48</v>
      </c>
      <c r="Y1034" s="1" t="n">
        <v>46151.82193287037</v>
      </c>
    </row>
    <row r="1035">
      <c r="A1035" t="inlineStr">
        <is>
          <t>pay_xRTGUgGINygYVU</t>
        </is>
      </c>
      <c r="B1035" t="n">
        <v>999</v>
      </c>
      <c r="C1035" t="inlineStr">
        <is>
          <t>INR</t>
        </is>
      </c>
      <c r="D1035" t="inlineStr">
        <is>
          <t>captured</t>
        </is>
      </c>
      <c r="G1035" t="n">
        <v>0</v>
      </c>
      <c r="H1035" t="inlineStr">
        <is>
          <t>upi</t>
        </is>
      </c>
      <c r="I1035" t="n">
        <v>0</v>
      </c>
      <c r="J1035" t="n">
        <v>0</v>
      </c>
      <c r="L1035" t="n">
        <v>1</v>
      </c>
      <c r="R1035" t="inlineStr">
        <is>
          <t>customer236@example.com</t>
        </is>
      </c>
      <c r="S1035">
        <f>+919854143529</f>
        <v/>
      </c>
      <c r="T1035" t="inlineStr">
        <is>
          <t>[]</t>
        </is>
      </c>
      <c r="U1035" t="n">
        <v>19.98</v>
      </c>
      <c r="V1035" t="n">
        <v>3.6</v>
      </c>
      <c r="Y1035" s="1" t="n">
        <v>46146.15637731482</v>
      </c>
    </row>
    <row r="1036">
      <c r="A1036" t="inlineStr">
        <is>
          <t>pay_sXqNpptPO8aJSA</t>
        </is>
      </c>
      <c r="B1036" t="n">
        <v>1499</v>
      </c>
      <c r="C1036" t="inlineStr">
        <is>
          <t>INR</t>
        </is>
      </c>
      <c r="D1036" t="inlineStr">
        <is>
          <t>captured</t>
        </is>
      </c>
      <c r="G1036" t="n">
        <v>0</v>
      </c>
      <c r="H1036" t="inlineStr">
        <is>
          <t>upi</t>
        </is>
      </c>
      <c r="I1036" t="n">
        <v>0</v>
      </c>
      <c r="J1036" t="n">
        <v>0</v>
      </c>
      <c r="L1036" t="n">
        <v>1</v>
      </c>
      <c r="R1036" t="inlineStr">
        <is>
          <t>customer117@example.com</t>
        </is>
      </c>
      <c r="S1036">
        <f>+919888188342</f>
        <v/>
      </c>
      <c r="T1036" t="inlineStr">
        <is>
          <t>[]</t>
        </is>
      </c>
      <c r="U1036" t="n">
        <v>29.98</v>
      </c>
      <c r="V1036" t="n">
        <v>5.4</v>
      </c>
      <c r="Y1036" s="1" t="n">
        <v>46143.705625</v>
      </c>
    </row>
    <row r="1037">
      <c r="A1037" t="inlineStr">
        <is>
          <t>pay_T25X8ODSImgjTw</t>
        </is>
      </c>
      <c r="B1037" t="n">
        <v>1499</v>
      </c>
      <c r="C1037" t="inlineStr">
        <is>
          <t>INR</t>
        </is>
      </c>
      <c r="D1037" t="inlineStr">
        <is>
          <t>captured</t>
        </is>
      </c>
      <c r="G1037" t="n">
        <v>0</v>
      </c>
      <c r="H1037" t="inlineStr">
        <is>
          <t>upi</t>
        </is>
      </c>
      <c r="I1037" t="n">
        <v>0</v>
      </c>
      <c r="J1037" t="n">
        <v>0</v>
      </c>
      <c r="L1037" t="n">
        <v>1</v>
      </c>
      <c r="R1037" t="inlineStr">
        <is>
          <t>customer726@example.com</t>
        </is>
      </c>
      <c r="S1037">
        <f>+919834219596</f>
        <v/>
      </c>
      <c r="T1037" t="inlineStr">
        <is>
          <t>[]</t>
        </is>
      </c>
      <c r="U1037" t="n">
        <v>29.98</v>
      </c>
      <c r="V1037" t="n">
        <v>5.4</v>
      </c>
      <c r="Y1037" s="1" t="n">
        <v>46172.65405092593</v>
      </c>
    </row>
    <row r="1038">
      <c r="A1038" t="inlineStr">
        <is>
          <t>pay_Me5rk2zFXZkO7q</t>
        </is>
      </c>
      <c r="B1038" t="n">
        <v>1799</v>
      </c>
      <c r="C1038" t="inlineStr">
        <is>
          <t>INR</t>
        </is>
      </c>
      <c r="D1038" t="inlineStr">
        <is>
          <t>captured</t>
        </is>
      </c>
      <c r="G1038" t="n">
        <v>0</v>
      </c>
      <c r="H1038" t="inlineStr">
        <is>
          <t>upi</t>
        </is>
      </c>
      <c r="I1038" t="n">
        <v>0</v>
      </c>
      <c r="J1038" t="n">
        <v>0</v>
      </c>
      <c r="L1038" t="n">
        <v>1</v>
      </c>
      <c r="R1038" t="inlineStr">
        <is>
          <t>customer32@example.com</t>
        </is>
      </c>
      <c r="S1038">
        <f>+919888114809</f>
        <v/>
      </c>
      <c r="T1038" t="inlineStr">
        <is>
          <t>[]</t>
        </is>
      </c>
      <c r="U1038" t="n">
        <v>35.98</v>
      </c>
      <c r="V1038" t="n">
        <v>6.48</v>
      </c>
      <c r="Y1038" s="1" t="n">
        <v>46167.58723379629</v>
      </c>
    </row>
    <row r="1039">
      <c r="A1039" t="inlineStr">
        <is>
          <t>pay_QMfuptv7Sk4sx4</t>
        </is>
      </c>
      <c r="B1039" t="n">
        <v>1499</v>
      </c>
      <c r="C1039" t="inlineStr">
        <is>
          <t>INR</t>
        </is>
      </c>
      <c r="D1039" t="inlineStr">
        <is>
          <t>captured</t>
        </is>
      </c>
      <c r="G1039" t="n">
        <v>0</v>
      </c>
      <c r="H1039" t="inlineStr">
        <is>
          <t>upi</t>
        </is>
      </c>
      <c r="I1039" t="n">
        <v>0</v>
      </c>
      <c r="J1039" t="n">
        <v>0</v>
      </c>
      <c r="L1039" t="n">
        <v>1</v>
      </c>
      <c r="R1039" t="inlineStr">
        <is>
          <t>customer510@example.com</t>
        </is>
      </c>
      <c r="S1039">
        <f>+919864545196</f>
        <v/>
      </c>
      <c r="T1039" t="inlineStr">
        <is>
          <t>[]</t>
        </is>
      </c>
      <c r="U1039" t="n">
        <v>29.98</v>
      </c>
      <c r="V1039" t="n">
        <v>5.4</v>
      </c>
      <c r="Y1039" s="1" t="n">
        <v>46152.52688657407</v>
      </c>
    </row>
    <row r="1040">
      <c r="A1040" t="inlineStr">
        <is>
          <t>pay_ANHuK8qArOUW4Q</t>
        </is>
      </c>
      <c r="B1040" t="n">
        <v>1799</v>
      </c>
      <c r="C1040" t="inlineStr">
        <is>
          <t>INR</t>
        </is>
      </c>
      <c r="D1040" t="inlineStr">
        <is>
          <t>captured</t>
        </is>
      </c>
      <c r="G1040" t="n">
        <v>0</v>
      </c>
      <c r="H1040" t="inlineStr">
        <is>
          <t>upi</t>
        </is>
      </c>
      <c r="I1040" t="n">
        <v>0</v>
      </c>
      <c r="J1040" t="n">
        <v>0</v>
      </c>
      <c r="L1040" t="n">
        <v>1</v>
      </c>
      <c r="R1040" t="inlineStr">
        <is>
          <t>customer715@example.com</t>
        </is>
      </c>
      <c r="S1040">
        <f>+919897382008</f>
        <v/>
      </c>
      <c r="T1040" t="inlineStr">
        <is>
          <t>[]</t>
        </is>
      </c>
      <c r="U1040" t="n">
        <v>35.98</v>
      </c>
      <c r="V1040" t="n">
        <v>6.48</v>
      </c>
      <c r="Y1040" s="1" t="n">
        <v>46165.09719907407</v>
      </c>
    </row>
    <row r="1041">
      <c r="A1041" t="inlineStr">
        <is>
          <t>pay_zh1hVSzNveBNp5</t>
        </is>
      </c>
      <c r="B1041" t="n">
        <v>1499</v>
      </c>
      <c r="C1041" t="inlineStr">
        <is>
          <t>INR</t>
        </is>
      </c>
      <c r="D1041" t="inlineStr">
        <is>
          <t>captured</t>
        </is>
      </c>
      <c r="G1041" t="n">
        <v>0</v>
      </c>
      <c r="H1041" t="inlineStr">
        <is>
          <t>upi</t>
        </is>
      </c>
      <c r="I1041" t="n">
        <v>0</v>
      </c>
      <c r="J1041" t="n">
        <v>0</v>
      </c>
      <c r="L1041" t="n">
        <v>1</v>
      </c>
      <c r="R1041" t="inlineStr">
        <is>
          <t>customer864@example.com</t>
        </is>
      </c>
      <c r="S1041">
        <f>+919893930810</f>
        <v/>
      </c>
      <c r="T1041" t="inlineStr">
        <is>
          <t>[]</t>
        </is>
      </c>
      <c r="U1041" t="n">
        <v>29.98</v>
      </c>
      <c r="V1041" t="n">
        <v>5.4</v>
      </c>
      <c r="Y1041" s="1" t="n">
        <v>46145.80310185185</v>
      </c>
    </row>
    <row r="1042">
      <c r="A1042" t="inlineStr">
        <is>
          <t>pay_nRQNBrgVMy6IUx</t>
        </is>
      </c>
      <c r="B1042" t="n">
        <v>3999</v>
      </c>
      <c r="C1042" t="inlineStr">
        <is>
          <t>INR</t>
        </is>
      </c>
      <c r="D1042" t="inlineStr">
        <is>
          <t>captured</t>
        </is>
      </c>
      <c r="G1042" t="n">
        <v>0</v>
      </c>
      <c r="H1042" t="inlineStr">
        <is>
          <t>upi</t>
        </is>
      </c>
      <c r="I1042" t="n">
        <v>0</v>
      </c>
      <c r="J1042" t="n">
        <v>0</v>
      </c>
      <c r="L1042" t="n">
        <v>1</v>
      </c>
      <c r="R1042" t="inlineStr">
        <is>
          <t>customer454@example.com</t>
        </is>
      </c>
      <c r="S1042">
        <f>+919881884042</f>
        <v/>
      </c>
      <c r="T1042" t="inlineStr">
        <is>
          <t>[]</t>
        </is>
      </c>
      <c r="U1042" t="n">
        <v>79.98</v>
      </c>
      <c r="V1042" t="n">
        <v>14.4</v>
      </c>
      <c r="Y1042" s="1" t="n">
        <v>46159.06203703704</v>
      </c>
    </row>
    <row r="1043">
      <c r="A1043" t="inlineStr">
        <is>
          <t>pay_8uFsyRCURusFLq</t>
        </is>
      </c>
      <c r="B1043" t="n">
        <v>1499</v>
      </c>
      <c r="C1043" t="inlineStr">
        <is>
          <t>INR</t>
        </is>
      </c>
      <c r="D1043" t="inlineStr">
        <is>
          <t>captured</t>
        </is>
      </c>
      <c r="G1043" t="n">
        <v>0</v>
      </c>
      <c r="H1043" t="inlineStr">
        <is>
          <t>upi</t>
        </is>
      </c>
      <c r="I1043" t="n">
        <v>0</v>
      </c>
      <c r="J1043" t="n">
        <v>0</v>
      </c>
      <c r="L1043" t="n">
        <v>1</v>
      </c>
      <c r="R1043" t="inlineStr">
        <is>
          <t>customer594@example.com</t>
        </is>
      </c>
      <c r="S1043">
        <f>+919874471112</f>
        <v/>
      </c>
      <c r="T1043" t="inlineStr">
        <is>
          <t>[]</t>
        </is>
      </c>
      <c r="U1043" t="n">
        <v>29.98</v>
      </c>
      <c r="V1043" t="n">
        <v>5.4</v>
      </c>
      <c r="Y1043" s="1" t="n">
        <v>46164.46850694445</v>
      </c>
    </row>
    <row r="1044">
      <c r="A1044" t="inlineStr">
        <is>
          <t>pay_PeG9Va7NNYKMKV</t>
        </is>
      </c>
      <c r="B1044" t="n">
        <v>1499</v>
      </c>
      <c r="C1044" t="inlineStr">
        <is>
          <t>INR</t>
        </is>
      </c>
      <c r="D1044" t="inlineStr">
        <is>
          <t>captured</t>
        </is>
      </c>
      <c r="G1044" t="n">
        <v>0</v>
      </c>
      <c r="H1044" t="inlineStr">
        <is>
          <t>upi</t>
        </is>
      </c>
      <c r="I1044" t="n">
        <v>0</v>
      </c>
      <c r="J1044" t="n">
        <v>0</v>
      </c>
      <c r="L1044" t="n">
        <v>1</v>
      </c>
      <c r="R1044" t="inlineStr">
        <is>
          <t>customer858@example.com</t>
        </is>
      </c>
      <c r="S1044">
        <f>+919865592362</f>
        <v/>
      </c>
      <c r="T1044" t="inlineStr">
        <is>
          <t>[]</t>
        </is>
      </c>
      <c r="U1044" t="n">
        <v>29.98</v>
      </c>
      <c r="V1044" t="n">
        <v>5.4</v>
      </c>
      <c r="Y1044" s="1" t="n">
        <v>46168.45922453704</v>
      </c>
    </row>
    <row r="1045">
      <c r="A1045" t="inlineStr">
        <is>
          <t>pay_WcEIGNaYKxvLgL</t>
        </is>
      </c>
      <c r="B1045" t="n">
        <v>499</v>
      </c>
      <c r="C1045" t="inlineStr">
        <is>
          <t>INR</t>
        </is>
      </c>
      <c r="D1045" t="inlineStr">
        <is>
          <t>captured</t>
        </is>
      </c>
      <c r="G1045" t="n">
        <v>0</v>
      </c>
      <c r="H1045" t="inlineStr">
        <is>
          <t>upi</t>
        </is>
      </c>
      <c r="I1045" t="n">
        <v>0</v>
      </c>
      <c r="J1045" t="n">
        <v>0</v>
      </c>
      <c r="L1045" t="n">
        <v>1</v>
      </c>
      <c r="R1045" t="inlineStr">
        <is>
          <t>customer706@example.com</t>
        </is>
      </c>
      <c r="S1045">
        <f>+919862349653</f>
        <v/>
      </c>
      <c r="T1045" t="inlineStr">
        <is>
          <t>[]</t>
        </is>
      </c>
      <c r="U1045" t="n">
        <v>9.98</v>
      </c>
      <c r="V1045" t="n">
        <v>1.8</v>
      </c>
      <c r="Y1045" s="1" t="n">
        <v>46170.08629629629</v>
      </c>
    </row>
    <row r="1046">
      <c r="A1046" t="inlineStr">
        <is>
          <t>pay_1WIjV6KZFq10fo</t>
        </is>
      </c>
      <c r="B1046" t="n">
        <v>499</v>
      </c>
      <c r="C1046" t="inlineStr">
        <is>
          <t>INR</t>
        </is>
      </c>
      <c r="D1046" t="inlineStr">
        <is>
          <t>captured</t>
        </is>
      </c>
      <c r="G1046" t="n">
        <v>0</v>
      </c>
      <c r="H1046" t="inlineStr">
        <is>
          <t>upi</t>
        </is>
      </c>
      <c r="I1046" t="n">
        <v>0</v>
      </c>
      <c r="J1046" t="n">
        <v>0</v>
      </c>
      <c r="L1046" t="n">
        <v>1</v>
      </c>
      <c r="R1046" t="inlineStr">
        <is>
          <t>customer492@example.com</t>
        </is>
      </c>
      <c r="S1046">
        <f>+919875961118</f>
        <v/>
      </c>
      <c r="T1046" t="inlineStr">
        <is>
          <t>[]</t>
        </is>
      </c>
      <c r="U1046" t="n">
        <v>9.98</v>
      </c>
      <c r="V1046" t="n">
        <v>1.8</v>
      </c>
      <c r="Y1046" s="1" t="n">
        <v>46156.43420138889</v>
      </c>
    </row>
    <row r="1047">
      <c r="A1047" t="inlineStr">
        <is>
          <t>pay_tlEmfBBBtifKv6</t>
        </is>
      </c>
      <c r="B1047" t="n">
        <v>2499</v>
      </c>
      <c r="C1047" t="inlineStr">
        <is>
          <t>INR</t>
        </is>
      </c>
      <c r="D1047" t="inlineStr">
        <is>
          <t>captured</t>
        </is>
      </c>
      <c r="G1047" t="n">
        <v>0</v>
      </c>
      <c r="H1047" t="inlineStr">
        <is>
          <t>upi</t>
        </is>
      </c>
      <c r="I1047" t="n">
        <v>0</v>
      </c>
      <c r="J1047" t="n">
        <v>0</v>
      </c>
      <c r="L1047" t="n">
        <v>1</v>
      </c>
      <c r="R1047" t="inlineStr">
        <is>
          <t>customer722@example.com</t>
        </is>
      </c>
      <c r="S1047">
        <f>+919816426589</f>
        <v/>
      </c>
      <c r="T1047" t="inlineStr">
        <is>
          <t>[]</t>
        </is>
      </c>
      <c r="U1047" t="n">
        <v>49.98</v>
      </c>
      <c r="V1047" t="n">
        <v>9</v>
      </c>
      <c r="Y1047" s="1" t="n">
        <v>46154.99944444445</v>
      </c>
    </row>
    <row r="1048">
      <c r="A1048" t="inlineStr">
        <is>
          <t>pay_E3mUxEpNaoG81R</t>
        </is>
      </c>
      <c r="B1048" t="n">
        <v>3999</v>
      </c>
      <c r="C1048" t="inlineStr">
        <is>
          <t>INR</t>
        </is>
      </c>
      <c r="D1048" t="inlineStr">
        <is>
          <t>captured</t>
        </is>
      </c>
      <c r="G1048" t="n">
        <v>0</v>
      </c>
      <c r="H1048" t="inlineStr">
        <is>
          <t>upi</t>
        </is>
      </c>
      <c r="I1048" t="n">
        <v>0</v>
      </c>
      <c r="J1048" t="n">
        <v>0</v>
      </c>
      <c r="L1048" t="n">
        <v>1</v>
      </c>
      <c r="R1048" t="inlineStr">
        <is>
          <t>customer151@example.com</t>
        </is>
      </c>
      <c r="S1048">
        <f>+919842076407</f>
        <v/>
      </c>
      <c r="T1048" t="inlineStr">
        <is>
          <t>[]</t>
        </is>
      </c>
      <c r="U1048" t="n">
        <v>79.98</v>
      </c>
      <c r="V1048" t="n">
        <v>14.4</v>
      </c>
      <c r="Y1048" s="1" t="n">
        <v>46163.75160879629</v>
      </c>
    </row>
    <row r="1049">
      <c r="A1049" t="inlineStr">
        <is>
          <t>pay_GJOJ69xctk9xN6</t>
        </is>
      </c>
      <c r="B1049" t="n">
        <v>3999</v>
      </c>
      <c r="C1049" t="inlineStr">
        <is>
          <t>INR</t>
        </is>
      </c>
      <c r="D1049" t="inlineStr">
        <is>
          <t>captured</t>
        </is>
      </c>
      <c r="G1049" t="n">
        <v>0</v>
      </c>
      <c r="H1049" t="inlineStr">
        <is>
          <t>upi</t>
        </is>
      </c>
      <c r="I1049" t="n">
        <v>0</v>
      </c>
      <c r="J1049" t="n">
        <v>0</v>
      </c>
      <c r="L1049" t="n">
        <v>1</v>
      </c>
      <c r="R1049" t="inlineStr">
        <is>
          <t>customer393@example.com</t>
        </is>
      </c>
      <c r="S1049">
        <f>+919830688127</f>
        <v/>
      </c>
      <c r="T1049" t="inlineStr">
        <is>
          <t>[]</t>
        </is>
      </c>
      <c r="U1049" t="n">
        <v>79.98</v>
      </c>
      <c r="V1049" t="n">
        <v>14.4</v>
      </c>
      <c r="Y1049" s="1" t="n">
        <v>46143.04304398148</v>
      </c>
    </row>
    <row r="1050">
      <c r="A1050" t="inlineStr">
        <is>
          <t>pay_kojiYc1Mq2iACb</t>
        </is>
      </c>
      <c r="B1050" t="n">
        <v>1499</v>
      </c>
      <c r="C1050" t="inlineStr">
        <is>
          <t>INR</t>
        </is>
      </c>
      <c r="D1050" t="inlineStr">
        <is>
          <t>captured</t>
        </is>
      </c>
      <c r="G1050" t="n">
        <v>0</v>
      </c>
      <c r="H1050" t="inlineStr">
        <is>
          <t>upi</t>
        </is>
      </c>
      <c r="I1050" t="n">
        <v>0</v>
      </c>
      <c r="J1050" t="n">
        <v>0</v>
      </c>
      <c r="L1050" t="n">
        <v>1</v>
      </c>
      <c r="R1050" t="inlineStr">
        <is>
          <t>customer48@example.com</t>
        </is>
      </c>
      <c r="S1050">
        <f>+919890243541</f>
        <v/>
      </c>
      <c r="T1050" t="inlineStr">
        <is>
          <t>[]</t>
        </is>
      </c>
      <c r="U1050" t="n">
        <v>29.98</v>
      </c>
      <c r="V1050" t="n">
        <v>5.4</v>
      </c>
      <c r="Y1050" s="1" t="n">
        <v>46145.17064814815</v>
      </c>
    </row>
    <row r="1051">
      <c r="A1051" t="inlineStr">
        <is>
          <t>pay_olG7Wy7uwH9vwZ</t>
        </is>
      </c>
      <c r="B1051" t="n">
        <v>2499</v>
      </c>
      <c r="C1051" t="inlineStr">
        <is>
          <t>INR</t>
        </is>
      </c>
      <c r="D1051" t="inlineStr">
        <is>
          <t>captured</t>
        </is>
      </c>
      <c r="G1051" t="n">
        <v>0</v>
      </c>
      <c r="H1051" t="inlineStr">
        <is>
          <t>upi</t>
        </is>
      </c>
      <c r="I1051" t="n">
        <v>0</v>
      </c>
      <c r="J1051" t="n">
        <v>0</v>
      </c>
      <c r="L1051" t="n">
        <v>1</v>
      </c>
      <c r="R1051" t="inlineStr">
        <is>
          <t>customer242@example.com</t>
        </is>
      </c>
      <c r="S1051">
        <f>+919871163260</f>
        <v/>
      </c>
      <c r="T1051" t="inlineStr">
        <is>
          <t>[]</t>
        </is>
      </c>
      <c r="U1051" t="n">
        <v>49.98</v>
      </c>
      <c r="V1051" t="n">
        <v>9</v>
      </c>
      <c r="Y1051" s="1" t="n">
        <v>46151.99935185185</v>
      </c>
    </row>
    <row r="1052">
      <c r="A1052" t="inlineStr">
        <is>
          <t>pay_pYaziLriKggM71</t>
        </is>
      </c>
      <c r="B1052" t="n">
        <v>1799</v>
      </c>
      <c r="C1052" t="inlineStr">
        <is>
          <t>INR</t>
        </is>
      </c>
      <c r="D1052" t="inlineStr">
        <is>
          <t>captured</t>
        </is>
      </c>
      <c r="G1052" t="n">
        <v>0</v>
      </c>
      <c r="H1052" t="inlineStr">
        <is>
          <t>upi</t>
        </is>
      </c>
      <c r="I1052" t="n">
        <v>0</v>
      </c>
      <c r="J1052" t="n">
        <v>0</v>
      </c>
      <c r="L1052" t="n">
        <v>1</v>
      </c>
      <c r="R1052" t="inlineStr">
        <is>
          <t>customer5@example.com</t>
        </is>
      </c>
      <c r="S1052">
        <f>+919893385947</f>
        <v/>
      </c>
      <c r="T1052" t="inlineStr">
        <is>
          <t>[]</t>
        </is>
      </c>
      <c r="U1052" t="n">
        <v>35.98</v>
      </c>
      <c r="V1052" t="n">
        <v>6.48</v>
      </c>
      <c r="Y1052" s="1" t="n">
        <v>46147.01084490741</v>
      </c>
    </row>
    <row r="1053">
      <c r="A1053" t="inlineStr">
        <is>
          <t>pay_GFizwiT7uhn9oA</t>
        </is>
      </c>
      <c r="B1053" t="n">
        <v>2499</v>
      </c>
      <c r="C1053" t="inlineStr">
        <is>
          <t>INR</t>
        </is>
      </c>
      <c r="D1053" t="inlineStr">
        <is>
          <t>captured</t>
        </is>
      </c>
      <c r="G1053" t="n">
        <v>0</v>
      </c>
      <c r="H1053" t="inlineStr">
        <is>
          <t>upi</t>
        </is>
      </c>
      <c r="I1053" t="n">
        <v>0</v>
      </c>
      <c r="J1053" t="n">
        <v>0</v>
      </c>
      <c r="L1053" t="n">
        <v>1</v>
      </c>
      <c r="R1053" t="inlineStr">
        <is>
          <t>customer40@example.com</t>
        </is>
      </c>
      <c r="S1053">
        <f>+919819268306</f>
        <v/>
      </c>
      <c r="T1053" t="inlineStr">
        <is>
          <t>[]</t>
        </is>
      </c>
      <c r="U1053" t="n">
        <v>49.98</v>
      </c>
      <c r="V1053" t="n">
        <v>9</v>
      </c>
      <c r="Y1053" s="1" t="n">
        <v>46161.07760416667</v>
      </c>
    </row>
    <row r="1054">
      <c r="A1054" t="inlineStr">
        <is>
          <t>pay_LuSo8HQIa1PdaN</t>
        </is>
      </c>
      <c r="B1054" t="n">
        <v>1499</v>
      </c>
      <c r="C1054" t="inlineStr">
        <is>
          <t>INR</t>
        </is>
      </c>
      <c r="D1054" t="inlineStr">
        <is>
          <t>captured</t>
        </is>
      </c>
      <c r="G1054" t="n">
        <v>0</v>
      </c>
      <c r="H1054" t="inlineStr">
        <is>
          <t>upi</t>
        </is>
      </c>
      <c r="I1054" t="n">
        <v>0</v>
      </c>
      <c r="J1054" t="n">
        <v>0</v>
      </c>
      <c r="L1054" t="n">
        <v>1</v>
      </c>
      <c r="R1054" t="inlineStr">
        <is>
          <t>customer779@example.com</t>
        </is>
      </c>
      <c r="S1054">
        <f>+919810452682</f>
        <v/>
      </c>
      <c r="T1054" t="inlineStr">
        <is>
          <t>[]</t>
        </is>
      </c>
      <c r="U1054" t="n">
        <v>29.98</v>
      </c>
      <c r="V1054" t="n">
        <v>5.4</v>
      </c>
      <c r="Y1054" s="1" t="n">
        <v>46165.22741898148</v>
      </c>
    </row>
    <row r="1055">
      <c r="A1055" t="inlineStr">
        <is>
          <t>pay_3ZzXXdGX0xhiwe</t>
        </is>
      </c>
      <c r="B1055" t="n">
        <v>2499</v>
      </c>
      <c r="C1055" t="inlineStr">
        <is>
          <t>INR</t>
        </is>
      </c>
      <c r="D1055" t="inlineStr">
        <is>
          <t>captured</t>
        </is>
      </c>
      <c r="G1055" t="n">
        <v>0</v>
      </c>
      <c r="H1055" t="inlineStr">
        <is>
          <t>upi</t>
        </is>
      </c>
      <c r="I1055" t="n">
        <v>0</v>
      </c>
      <c r="J1055" t="n">
        <v>0</v>
      </c>
      <c r="L1055" t="n">
        <v>1</v>
      </c>
      <c r="R1055" t="inlineStr">
        <is>
          <t>customer435@example.com</t>
        </is>
      </c>
      <c r="S1055">
        <f>+919825921639</f>
        <v/>
      </c>
      <c r="T1055" t="inlineStr">
        <is>
          <t>[]</t>
        </is>
      </c>
      <c r="U1055" t="n">
        <v>49.98</v>
      </c>
      <c r="V1055" t="n">
        <v>9</v>
      </c>
      <c r="Y1055" s="1" t="n">
        <v>46162.92184027778</v>
      </c>
    </row>
    <row r="1056">
      <c r="A1056" t="inlineStr">
        <is>
          <t>pay_9EVaRkIS2RrddR</t>
        </is>
      </c>
      <c r="B1056" t="n">
        <v>499</v>
      </c>
      <c r="C1056" t="inlineStr">
        <is>
          <t>INR</t>
        </is>
      </c>
      <c r="D1056" t="inlineStr">
        <is>
          <t>captured</t>
        </is>
      </c>
      <c r="G1056" t="n">
        <v>0</v>
      </c>
      <c r="H1056" t="inlineStr">
        <is>
          <t>upi</t>
        </is>
      </c>
      <c r="I1056" t="n">
        <v>0</v>
      </c>
      <c r="J1056" t="n">
        <v>0</v>
      </c>
      <c r="L1056" t="n">
        <v>1</v>
      </c>
      <c r="R1056" t="inlineStr">
        <is>
          <t>customer641@example.com</t>
        </is>
      </c>
      <c r="S1056">
        <f>+919853116357</f>
        <v/>
      </c>
      <c r="T1056" t="inlineStr">
        <is>
          <t>[]</t>
        </is>
      </c>
      <c r="U1056" t="n">
        <v>9.98</v>
      </c>
      <c r="V1056" t="n">
        <v>1.8</v>
      </c>
      <c r="Y1056" s="1" t="n">
        <v>46168.66641203704</v>
      </c>
    </row>
    <row r="1057">
      <c r="A1057" t="inlineStr">
        <is>
          <t>pay_NopIRAGO0YZMxG</t>
        </is>
      </c>
      <c r="B1057" t="n">
        <v>3999</v>
      </c>
      <c r="C1057" t="inlineStr">
        <is>
          <t>INR</t>
        </is>
      </c>
      <c r="D1057" t="inlineStr">
        <is>
          <t>captured</t>
        </is>
      </c>
      <c r="G1057" t="n">
        <v>0</v>
      </c>
      <c r="H1057" t="inlineStr">
        <is>
          <t>upi</t>
        </is>
      </c>
      <c r="I1057" t="n">
        <v>0</v>
      </c>
      <c r="J1057" t="n">
        <v>0</v>
      </c>
      <c r="L1057" t="n">
        <v>1</v>
      </c>
      <c r="R1057" t="inlineStr">
        <is>
          <t>customer699@example.com</t>
        </is>
      </c>
      <c r="S1057">
        <f>+919824591109</f>
        <v/>
      </c>
      <c r="T1057" t="inlineStr">
        <is>
          <t>[]</t>
        </is>
      </c>
      <c r="U1057" t="n">
        <v>79.98</v>
      </c>
      <c r="V1057" t="n">
        <v>14.4</v>
      </c>
      <c r="Y1057" s="1" t="n">
        <v>46145.3000925926</v>
      </c>
    </row>
    <row r="1058">
      <c r="A1058" t="inlineStr">
        <is>
          <t>pay_mPJc4vmaeqPBBU</t>
        </is>
      </c>
      <c r="B1058" t="n">
        <v>999</v>
      </c>
      <c r="C1058" t="inlineStr">
        <is>
          <t>INR</t>
        </is>
      </c>
      <c r="D1058" t="inlineStr">
        <is>
          <t>captured</t>
        </is>
      </c>
      <c r="G1058" t="n">
        <v>0</v>
      </c>
      <c r="H1058" t="inlineStr">
        <is>
          <t>upi</t>
        </is>
      </c>
      <c r="I1058" t="n">
        <v>0</v>
      </c>
      <c r="J1058" t="n">
        <v>0</v>
      </c>
      <c r="L1058" t="n">
        <v>1</v>
      </c>
      <c r="R1058" t="inlineStr">
        <is>
          <t>customer288@example.com</t>
        </is>
      </c>
      <c r="S1058">
        <f>+919852776445</f>
        <v/>
      </c>
      <c r="T1058" t="inlineStr">
        <is>
          <t>[]</t>
        </is>
      </c>
      <c r="U1058" t="n">
        <v>19.98</v>
      </c>
      <c r="V1058" t="n">
        <v>3.6</v>
      </c>
      <c r="Y1058" s="1" t="n">
        <v>46165.8390625</v>
      </c>
    </row>
    <row r="1059">
      <c r="A1059" t="inlineStr">
        <is>
          <t>pay_2kZ8hiW27mnqz2</t>
        </is>
      </c>
      <c r="B1059" t="n">
        <v>1499</v>
      </c>
      <c r="C1059" t="inlineStr">
        <is>
          <t>INR</t>
        </is>
      </c>
      <c r="D1059" t="inlineStr">
        <is>
          <t>captured</t>
        </is>
      </c>
      <c r="G1059" t="n">
        <v>0</v>
      </c>
      <c r="H1059" t="inlineStr">
        <is>
          <t>upi</t>
        </is>
      </c>
      <c r="I1059" t="n">
        <v>0</v>
      </c>
      <c r="J1059" t="n">
        <v>0</v>
      </c>
      <c r="L1059" t="n">
        <v>1</v>
      </c>
      <c r="R1059" t="inlineStr">
        <is>
          <t>customer65@example.com</t>
        </is>
      </c>
      <c r="S1059">
        <f>+919896122943</f>
        <v/>
      </c>
      <c r="T1059" t="inlineStr">
        <is>
          <t>[]</t>
        </is>
      </c>
      <c r="U1059" t="n">
        <v>29.98</v>
      </c>
      <c r="V1059" t="n">
        <v>5.4</v>
      </c>
      <c r="Y1059" s="1" t="n">
        <v>46170.20690972222</v>
      </c>
    </row>
    <row r="1060">
      <c r="A1060" t="inlineStr">
        <is>
          <t>pay_6CRYwkCXIGXtQB</t>
        </is>
      </c>
      <c r="B1060" t="n">
        <v>3999</v>
      </c>
      <c r="C1060" t="inlineStr">
        <is>
          <t>INR</t>
        </is>
      </c>
      <c r="D1060" t="inlineStr">
        <is>
          <t>captured</t>
        </is>
      </c>
      <c r="G1060" t="n">
        <v>0</v>
      </c>
      <c r="H1060" t="inlineStr">
        <is>
          <t>upi</t>
        </is>
      </c>
      <c r="I1060" t="n">
        <v>0</v>
      </c>
      <c r="J1060" t="n">
        <v>0</v>
      </c>
      <c r="L1060" t="n">
        <v>1</v>
      </c>
      <c r="R1060" t="inlineStr">
        <is>
          <t>customer415@example.com</t>
        </is>
      </c>
      <c r="S1060">
        <f>+919892964117</f>
        <v/>
      </c>
      <c r="T1060" t="inlineStr">
        <is>
          <t>[]</t>
        </is>
      </c>
      <c r="U1060" t="n">
        <v>79.98</v>
      </c>
      <c r="V1060" t="n">
        <v>14.4</v>
      </c>
      <c r="Y1060" s="1" t="n">
        <v>46155.36582175926</v>
      </c>
    </row>
    <row r="1061">
      <c r="A1061" t="inlineStr">
        <is>
          <t>pay_QNJ3qWJiBII7ua</t>
        </is>
      </c>
      <c r="B1061" t="n">
        <v>1799</v>
      </c>
      <c r="C1061" t="inlineStr">
        <is>
          <t>INR</t>
        </is>
      </c>
      <c r="D1061" t="inlineStr">
        <is>
          <t>captured</t>
        </is>
      </c>
      <c r="G1061" t="n">
        <v>0</v>
      </c>
      <c r="H1061" t="inlineStr">
        <is>
          <t>upi</t>
        </is>
      </c>
      <c r="I1061" t="n">
        <v>0</v>
      </c>
      <c r="J1061" t="n">
        <v>0</v>
      </c>
      <c r="L1061" t="n">
        <v>1</v>
      </c>
      <c r="R1061" t="inlineStr">
        <is>
          <t>customer841@example.com</t>
        </is>
      </c>
      <c r="S1061">
        <f>+919833648523</f>
        <v/>
      </c>
      <c r="T1061" t="inlineStr">
        <is>
          <t>[]</t>
        </is>
      </c>
      <c r="U1061" t="n">
        <v>35.98</v>
      </c>
      <c r="V1061" t="n">
        <v>6.48</v>
      </c>
      <c r="Y1061" s="1" t="n">
        <v>46143.59478009259</v>
      </c>
    </row>
    <row r="1062">
      <c r="A1062" t="inlineStr">
        <is>
          <t>pay_APugukmZoysv7Z</t>
        </is>
      </c>
      <c r="B1062" t="n">
        <v>1799</v>
      </c>
      <c r="C1062" t="inlineStr">
        <is>
          <t>INR</t>
        </is>
      </c>
      <c r="D1062" t="inlineStr">
        <is>
          <t>captured</t>
        </is>
      </c>
      <c r="G1062" t="n">
        <v>0</v>
      </c>
      <c r="H1062" t="inlineStr">
        <is>
          <t>upi</t>
        </is>
      </c>
      <c r="I1062" t="n">
        <v>0</v>
      </c>
      <c r="J1062" t="n">
        <v>0</v>
      </c>
      <c r="L1062" t="n">
        <v>1</v>
      </c>
      <c r="R1062" t="inlineStr">
        <is>
          <t>customer259@example.com</t>
        </is>
      </c>
      <c r="S1062">
        <f>+919818950228</f>
        <v/>
      </c>
      <c r="T1062" t="inlineStr">
        <is>
          <t>[]</t>
        </is>
      </c>
      <c r="U1062" t="n">
        <v>35.98</v>
      </c>
      <c r="V1062" t="n">
        <v>6.48</v>
      </c>
      <c r="Y1062" s="1" t="n">
        <v>46169.55260416667</v>
      </c>
    </row>
    <row r="1063">
      <c r="A1063" t="inlineStr">
        <is>
          <t>pay_3nqVIF93sMQqBg</t>
        </is>
      </c>
      <c r="B1063" t="n">
        <v>999</v>
      </c>
      <c r="C1063" t="inlineStr">
        <is>
          <t>INR</t>
        </is>
      </c>
      <c r="D1063" t="inlineStr">
        <is>
          <t>refunded</t>
        </is>
      </c>
      <c r="G1063" t="n">
        <v>0</v>
      </c>
      <c r="H1063" t="inlineStr">
        <is>
          <t>upi</t>
        </is>
      </c>
      <c r="I1063" t="n">
        <v>999</v>
      </c>
      <c r="J1063" t="n">
        <v>0</v>
      </c>
      <c r="K1063" t="inlineStr">
        <is>
          <t>full</t>
        </is>
      </c>
      <c r="L1063" t="n">
        <v>1</v>
      </c>
      <c r="R1063" t="inlineStr">
        <is>
          <t>customer70@example.com</t>
        </is>
      </c>
      <c r="S1063">
        <f>+919819096425</f>
        <v/>
      </c>
      <c r="T1063" t="inlineStr">
        <is>
          <t>[]</t>
        </is>
      </c>
      <c r="U1063" t="n">
        <v>19.98</v>
      </c>
      <c r="V1063" t="n">
        <v>3.6</v>
      </c>
      <c r="Y1063" s="1" t="n">
        <v>46151.66208333334</v>
      </c>
    </row>
    <row r="1064">
      <c r="A1064" t="inlineStr">
        <is>
          <t>pay_Hb6M1UaFyxbMSK</t>
        </is>
      </c>
      <c r="B1064" t="n">
        <v>1799</v>
      </c>
      <c r="C1064" t="inlineStr">
        <is>
          <t>INR</t>
        </is>
      </c>
      <c r="D1064" t="inlineStr">
        <is>
          <t>captured</t>
        </is>
      </c>
      <c r="G1064" t="n">
        <v>0</v>
      </c>
      <c r="H1064" t="inlineStr">
        <is>
          <t>upi</t>
        </is>
      </c>
      <c r="I1064" t="n">
        <v>0</v>
      </c>
      <c r="J1064" t="n">
        <v>0</v>
      </c>
      <c r="L1064" t="n">
        <v>1</v>
      </c>
      <c r="R1064" t="inlineStr">
        <is>
          <t>customer167@example.com</t>
        </is>
      </c>
      <c r="S1064">
        <f>+919860483124</f>
        <v/>
      </c>
      <c r="T1064" t="inlineStr">
        <is>
          <t>[]</t>
        </is>
      </c>
      <c r="U1064" t="n">
        <v>35.98</v>
      </c>
      <c r="V1064" t="n">
        <v>6.48</v>
      </c>
      <c r="Y1064" s="1" t="n">
        <v>46159.09547453704</v>
      </c>
    </row>
    <row r="1065">
      <c r="A1065" t="inlineStr">
        <is>
          <t>pay_T3uwOET4Btiz7u</t>
        </is>
      </c>
      <c r="B1065" t="n">
        <v>3999</v>
      </c>
      <c r="C1065" t="inlineStr">
        <is>
          <t>INR</t>
        </is>
      </c>
      <c r="D1065" t="inlineStr">
        <is>
          <t>captured</t>
        </is>
      </c>
      <c r="G1065" t="n">
        <v>0</v>
      </c>
      <c r="H1065" t="inlineStr">
        <is>
          <t>upi</t>
        </is>
      </c>
      <c r="I1065" t="n">
        <v>0</v>
      </c>
      <c r="J1065" t="n">
        <v>0</v>
      </c>
      <c r="L1065" t="n">
        <v>1</v>
      </c>
      <c r="R1065" t="inlineStr">
        <is>
          <t>customer204@example.com</t>
        </is>
      </c>
      <c r="S1065">
        <f>+919842361356</f>
        <v/>
      </c>
      <c r="T1065" t="inlineStr">
        <is>
          <t>[]</t>
        </is>
      </c>
      <c r="U1065" t="n">
        <v>79.98</v>
      </c>
      <c r="V1065" t="n">
        <v>14.4</v>
      </c>
      <c r="Y1065" s="1" t="n">
        <v>46156.90267361111</v>
      </c>
    </row>
    <row r="1066">
      <c r="A1066" t="inlineStr">
        <is>
          <t>pay_3xBrEMLX15nLBv</t>
        </is>
      </c>
      <c r="B1066" t="n">
        <v>1799</v>
      </c>
      <c r="C1066" t="inlineStr">
        <is>
          <t>INR</t>
        </is>
      </c>
      <c r="D1066" t="inlineStr">
        <is>
          <t>captured</t>
        </is>
      </c>
      <c r="G1066" t="n">
        <v>0</v>
      </c>
      <c r="H1066" t="inlineStr">
        <is>
          <t>upi</t>
        </is>
      </c>
      <c r="I1066" t="n">
        <v>0</v>
      </c>
      <c r="J1066" t="n">
        <v>0</v>
      </c>
      <c r="L1066" t="n">
        <v>1</v>
      </c>
      <c r="R1066" t="inlineStr">
        <is>
          <t>customer849@example.com</t>
        </is>
      </c>
      <c r="S1066">
        <f>+919846719446</f>
        <v/>
      </c>
      <c r="T1066" t="inlineStr">
        <is>
          <t>[]</t>
        </is>
      </c>
      <c r="U1066" t="n">
        <v>35.98</v>
      </c>
      <c r="V1066" t="n">
        <v>6.48</v>
      </c>
      <c r="Y1066" s="1" t="n">
        <v>46157.76660879629</v>
      </c>
    </row>
    <row r="1067">
      <c r="A1067" t="inlineStr">
        <is>
          <t>pay_NjoSQeFaSS97jH</t>
        </is>
      </c>
      <c r="B1067" t="n">
        <v>1499</v>
      </c>
      <c r="C1067" t="inlineStr">
        <is>
          <t>INR</t>
        </is>
      </c>
      <c r="D1067" t="inlineStr">
        <is>
          <t>captured</t>
        </is>
      </c>
      <c r="G1067" t="n">
        <v>0</v>
      </c>
      <c r="H1067" t="inlineStr">
        <is>
          <t>upi</t>
        </is>
      </c>
      <c r="I1067" t="n">
        <v>0</v>
      </c>
      <c r="J1067" t="n">
        <v>0</v>
      </c>
      <c r="L1067" t="n">
        <v>1</v>
      </c>
      <c r="R1067" t="inlineStr">
        <is>
          <t>customer327@example.com</t>
        </is>
      </c>
      <c r="S1067">
        <f>+919816538095</f>
        <v/>
      </c>
      <c r="T1067" t="inlineStr">
        <is>
          <t>[]</t>
        </is>
      </c>
      <c r="U1067" t="n">
        <v>29.98</v>
      </c>
      <c r="V1067" t="n">
        <v>5.4</v>
      </c>
      <c r="Y1067" s="1" t="n">
        <v>46172.81334490741</v>
      </c>
    </row>
    <row r="1068">
      <c r="A1068" t="inlineStr">
        <is>
          <t>pay_ltZ1ybRRUlhHoo</t>
        </is>
      </c>
      <c r="B1068" t="n">
        <v>3999</v>
      </c>
      <c r="C1068" t="inlineStr">
        <is>
          <t>INR</t>
        </is>
      </c>
      <c r="D1068" t="inlineStr">
        <is>
          <t>captured</t>
        </is>
      </c>
      <c r="G1068" t="n">
        <v>0</v>
      </c>
      <c r="H1068" t="inlineStr">
        <is>
          <t>upi</t>
        </is>
      </c>
      <c r="I1068" t="n">
        <v>0</v>
      </c>
      <c r="J1068" t="n">
        <v>0</v>
      </c>
      <c r="L1068" t="n">
        <v>1</v>
      </c>
      <c r="R1068" t="inlineStr">
        <is>
          <t>customer828@example.com</t>
        </is>
      </c>
      <c r="S1068">
        <f>+919827855992</f>
        <v/>
      </c>
      <c r="T1068" t="inlineStr">
        <is>
          <t>[]</t>
        </is>
      </c>
      <c r="U1068" t="n">
        <v>79.98</v>
      </c>
      <c r="V1068" t="n">
        <v>14.4</v>
      </c>
      <c r="Y1068" s="1" t="n">
        <v>46143.42348379629</v>
      </c>
    </row>
    <row r="1069">
      <c r="A1069" t="inlineStr">
        <is>
          <t>pay_KwhS0Oj4xwP8M9</t>
        </is>
      </c>
      <c r="B1069" t="n">
        <v>1499</v>
      </c>
      <c r="C1069" t="inlineStr">
        <is>
          <t>INR</t>
        </is>
      </c>
      <c r="D1069" t="inlineStr">
        <is>
          <t>captured</t>
        </is>
      </c>
      <c r="G1069" t="n">
        <v>0</v>
      </c>
      <c r="H1069" t="inlineStr">
        <is>
          <t>upi</t>
        </is>
      </c>
      <c r="I1069" t="n">
        <v>0</v>
      </c>
      <c r="J1069" t="n">
        <v>0</v>
      </c>
      <c r="L1069" t="n">
        <v>1</v>
      </c>
      <c r="R1069" t="inlineStr">
        <is>
          <t>customer171@example.com</t>
        </is>
      </c>
      <c r="S1069">
        <f>+919862902097</f>
        <v/>
      </c>
      <c r="T1069" t="inlineStr">
        <is>
          <t>[]</t>
        </is>
      </c>
      <c r="U1069" t="n">
        <v>29.98</v>
      </c>
      <c r="V1069" t="n">
        <v>5.4</v>
      </c>
      <c r="Y1069" s="1" t="n">
        <v>46145.27474537037</v>
      </c>
    </row>
    <row r="1070">
      <c r="A1070" t="inlineStr">
        <is>
          <t>pay_xIP2wyb2XlOUYQ</t>
        </is>
      </c>
      <c r="B1070" t="n">
        <v>1499</v>
      </c>
      <c r="C1070" t="inlineStr">
        <is>
          <t>INR</t>
        </is>
      </c>
      <c r="D1070" t="inlineStr">
        <is>
          <t>captured</t>
        </is>
      </c>
      <c r="G1070" t="n">
        <v>0</v>
      </c>
      <c r="H1070" t="inlineStr">
        <is>
          <t>upi</t>
        </is>
      </c>
      <c r="I1070" t="n">
        <v>0</v>
      </c>
      <c r="J1070" t="n">
        <v>0</v>
      </c>
      <c r="L1070" t="n">
        <v>1</v>
      </c>
      <c r="R1070" t="inlineStr">
        <is>
          <t>customer191@example.com</t>
        </is>
      </c>
      <c r="S1070">
        <f>+919826401581</f>
        <v/>
      </c>
      <c r="T1070" t="inlineStr">
        <is>
          <t>[]</t>
        </is>
      </c>
      <c r="U1070" t="n">
        <v>29.98</v>
      </c>
      <c r="V1070" t="n">
        <v>5.4</v>
      </c>
      <c r="Y1070" s="1" t="n">
        <v>46170.88277777778</v>
      </c>
    </row>
    <row r="1071">
      <c r="A1071" t="inlineStr">
        <is>
          <t>pay_MQpOCETxEWL92H</t>
        </is>
      </c>
      <c r="B1071" t="n">
        <v>1499</v>
      </c>
      <c r="C1071" t="inlineStr">
        <is>
          <t>INR</t>
        </is>
      </c>
      <c r="D1071" t="inlineStr">
        <is>
          <t>captured</t>
        </is>
      </c>
      <c r="G1071" t="n">
        <v>0</v>
      </c>
      <c r="H1071" t="inlineStr">
        <is>
          <t>upi</t>
        </is>
      </c>
      <c r="I1071" t="n">
        <v>0</v>
      </c>
      <c r="J1071" t="n">
        <v>0</v>
      </c>
      <c r="L1071" t="n">
        <v>1</v>
      </c>
      <c r="R1071" t="inlineStr">
        <is>
          <t>customer300@example.com</t>
        </is>
      </c>
      <c r="S1071">
        <f>+919845833907</f>
        <v/>
      </c>
      <c r="T1071" t="inlineStr">
        <is>
          <t>[]</t>
        </is>
      </c>
      <c r="U1071" t="n">
        <v>29.98</v>
      </c>
      <c r="V1071" t="n">
        <v>5.4</v>
      </c>
      <c r="Y1071" s="1" t="n">
        <v>46171.45293981482</v>
      </c>
    </row>
    <row r="1072">
      <c r="A1072" t="inlineStr">
        <is>
          <t>pay_WBBsJmUPcqzRuT</t>
        </is>
      </c>
      <c r="B1072" t="n">
        <v>999</v>
      </c>
      <c r="C1072" t="inlineStr">
        <is>
          <t>INR</t>
        </is>
      </c>
      <c r="D1072" t="inlineStr">
        <is>
          <t>captured</t>
        </is>
      </c>
      <c r="G1072" t="n">
        <v>0</v>
      </c>
      <c r="H1072" t="inlineStr">
        <is>
          <t>upi</t>
        </is>
      </c>
      <c r="I1072" t="n">
        <v>0</v>
      </c>
      <c r="J1072" t="n">
        <v>0</v>
      </c>
      <c r="L1072" t="n">
        <v>1</v>
      </c>
      <c r="R1072" t="inlineStr">
        <is>
          <t>customer835@example.com</t>
        </is>
      </c>
      <c r="S1072">
        <f>+919869504167</f>
        <v/>
      </c>
      <c r="T1072" t="inlineStr">
        <is>
          <t>[]</t>
        </is>
      </c>
      <c r="U1072" t="n">
        <v>19.98</v>
      </c>
      <c r="V1072" t="n">
        <v>3.6</v>
      </c>
      <c r="Y1072" s="1" t="n">
        <v>46152.67284722222</v>
      </c>
    </row>
    <row r="1073">
      <c r="A1073" t="inlineStr">
        <is>
          <t>pay_mLulYBrQ2go2Nk</t>
        </is>
      </c>
      <c r="B1073" t="n">
        <v>1499</v>
      </c>
      <c r="C1073" t="inlineStr">
        <is>
          <t>INR</t>
        </is>
      </c>
      <c r="D1073" t="inlineStr">
        <is>
          <t>captured</t>
        </is>
      </c>
      <c r="G1073" t="n">
        <v>0</v>
      </c>
      <c r="H1073" t="inlineStr">
        <is>
          <t>upi</t>
        </is>
      </c>
      <c r="I1073" t="n">
        <v>0</v>
      </c>
      <c r="J1073" t="n">
        <v>0</v>
      </c>
      <c r="L1073" t="n">
        <v>1</v>
      </c>
      <c r="R1073" t="inlineStr">
        <is>
          <t>customer842@example.com</t>
        </is>
      </c>
      <c r="S1073">
        <f>+919875174663</f>
        <v/>
      </c>
      <c r="T1073" t="inlineStr">
        <is>
          <t>[]</t>
        </is>
      </c>
      <c r="U1073" t="n">
        <v>29.98</v>
      </c>
      <c r="V1073" t="n">
        <v>5.4</v>
      </c>
      <c r="Y1073" s="1" t="n">
        <v>46144.23018518519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2026-10-25T12:45:21Z</dcterms:created>
  <dcterms:modified xsi:type="dcterms:W3CDTF">2026-10-25T12:45:21Z</dcterms:modified>
</cp:coreProperties>
</file>